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42541D84-4414-469B-AEA5-9954DBC44CF9}" xr6:coauthVersionLast="36" xr6:coauthVersionMax="36" xr10:uidLastSave="{00000000-0000-0000-0000-000000000000}"/>
  <bookViews>
    <workbookView xWindow="0" yWindow="0" windowWidth="28800" windowHeight="12015" activeTab="3" xr2:uid="{00000000-000D-0000-FFFF-FFFF00000000}"/>
  </bookViews>
  <sheets>
    <sheet name="浙大" sheetId="5" r:id="rId1"/>
    <sheet name="北航" sheetId="11" r:id="rId2"/>
    <sheet name="中北" sheetId="12" r:id="rId3"/>
    <sheet name="课题一" sheetId="13" r:id="rId4"/>
    <sheet name="课题二" sheetId="14" r:id="rId5"/>
    <sheet name="课题三" sheetId="15" r:id="rId6"/>
    <sheet name="课题四" sheetId="16" r:id="rId7"/>
    <sheet name="课题五" sheetId="17" r:id="rId8"/>
    <sheet name="项目合计" sheetId="19" r:id="rId9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3" l="1"/>
  <c r="F27" i="13" l="1"/>
  <c r="G27" i="13"/>
  <c r="F28" i="13"/>
  <c r="G28" i="13"/>
  <c r="G29" i="13"/>
  <c r="F30" i="13"/>
  <c r="G30" i="13"/>
  <c r="G26" i="13"/>
  <c r="G25" i="13"/>
  <c r="G1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G11" i="13"/>
  <c r="F12" i="13"/>
  <c r="G12" i="13"/>
  <c r="F13" i="13"/>
  <c r="G13" i="13"/>
  <c r="G3" i="13"/>
  <c r="D26" i="13"/>
  <c r="E26" i="13"/>
  <c r="D27" i="13"/>
  <c r="E27" i="13"/>
  <c r="D28" i="13"/>
  <c r="E28" i="13"/>
  <c r="D29" i="13"/>
  <c r="F29" i="13" s="1"/>
  <c r="E29" i="13"/>
  <c r="D30" i="13"/>
  <c r="E30" i="13"/>
  <c r="E25" i="13"/>
  <c r="E14" i="13"/>
  <c r="E12" i="13"/>
  <c r="E13" i="13"/>
  <c r="E3" i="13"/>
  <c r="E4" i="13"/>
  <c r="E5" i="13"/>
  <c r="E6" i="13"/>
  <c r="E7" i="13"/>
  <c r="E8" i="13"/>
  <c r="E9" i="13"/>
  <c r="E10" i="13"/>
  <c r="E11" i="13"/>
  <c r="D5" i="13"/>
  <c r="D6" i="13"/>
  <c r="D7" i="13"/>
  <c r="D8" i="13"/>
  <c r="D9" i="13"/>
  <c r="D10" i="13"/>
  <c r="F26" i="5"/>
  <c r="G26" i="5"/>
  <c r="F27" i="5"/>
  <c r="G27" i="5"/>
  <c r="F28" i="5"/>
  <c r="G28" i="5"/>
  <c r="F29" i="5"/>
  <c r="G29" i="5"/>
  <c r="F30" i="5"/>
  <c r="G30" i="5"/>
  <c r="G25" i="5"/>
  <c r="G14" i="5"/>
  <c r="G4" i="5"/>
  <c r="G5" i="5"/>
  <c r="G6" i="5"/>
  <c r="G7" i="5"/>
  <c r="G8" i="5"/>
  <c r="G9" i="5"/>
  <c r="G10" i="5"/>
  <c r="G11" i="5"/>
  <c r="G12" i="5"/>
  <c r="G13" i="5"/>
  <c r="G3" i="5"/>
  <c r="B30" i="13"/>
  <c r="C30" i="13"/>
  <c r="C29" i="13"/>
  <c r="B29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5" i="13"/>
  <c r="J6" i="13"/>
  <c r="J7" i="13"/>
  <c r="J8" i="13"/>
  <c r="J9" i="13"/>
  <c r="J10" i="13"/>
  <c r="J11" i="13"/>
  <c r="J12" i="13"/>
  <c r="J13" i="13"/>
  <c r="I26" i="12"/>
  <c r="I27" i="12"/>
  <c r="I28" i="12"/>
  <c r="I29" i="12"/>
  <c r="I30" i="12"/>
  <c r="I25" i="12"/>
  <c r="I14" i="12"/>
  <c r="I4" i="12"/>
  <c r="I5" i="12"/>
  <c r="I6" i="12"/>
  <c r="I7" i="12"/>
  <c r="I8" i="12"/>
  <c r="I9" i="12"/>
  <c r="I10" i="12"/>
  <c r="I11" i="12"/>
  <c r="I12" i="12"/>
  <c r="I13" i="12"/>
  <c r="I3" i="12"/>
  <c r="H26" i="12"/>
  <c r="H27" i="12"/>
  <c r="H28" i="12"/>
  <c r="H29" i="12"/>
  <c r="H30" i="12"/>
  <c r="H25" i="12"/>
  <c r="H14" i="12"/>
  <c r="H5" i="12"/>
  <c r="H6" i="12"/>
  <c r="H7" i="12"/>
  <c r="H8" i="12"/>
  <c r="H9" i="12"/>
  <c r="H10" i="12"/>
  <c r="H11" i="12"/>
  <c r="H12" i="12"/>
  <c r="H13" i="12"/>
  <c r="F30" i="12"/>
  <c r="F27" i="12"/>
  <c r="F28" i="12"/>
  <c r="F29" i="12"/>
  <c r="F26" i="12"/>
  <c r="F25" i="12"/>
  <c r="F14" i="12"/>
  <c r="F4" i="12"/>
  <c r="F5" i="12"/>
  <c r="F6" i="12"/>
  <c r="F7" i="12"/>
  <c r="F8" i="12"/>
  <c r="F9" i="12"/>
  <c r="F10" i="12"/>
  <c r="F11" i="12"/>
  <c r="F12" i="12"/>
  <c r="F13" i="12"/>
  <c r="D4" i="12"/>
  <c r="H4" i="12" s="1"/>
  <c r="D4" i="5"/>
  <c r="D3" i="5" s="1"/>
  <c r="D3" i="12" l="1"/>
  <c r="F3" i="12" s="1"/>
  <c r="J4" i="13"/>
  <c r="G54" i="19"/>
  <c r="H54" i="19"/>
  <c r="I54" i="19"/>
  <c r="G53" i="19"/>
  <c r="H53" i="19"/>
  <c r="I53" i="19"/>
  <c r="G52" i="19"/>
  <c r="H52" i="19"/>
  <c r="I52" i="19"/>
  <c r="F53" i="19"/>
  <c r="F54" i="19"/>
  <c r="E53" i="19"/>
  <c r="E54" i="19"/>
  <c r="D53" i="19"/>
  <c r="D54" i="19"/>
  <c r="E52" i="19"/>
  <c r="F52" i="19"/>
  <c r="D52" i="19"/>
  <c r="J3" i="13" l="1"/>
  <c r="K40" i="19"/>
  <c r="C40" i="19"/>
  <c r="D40" i="19"/>
  <c r="E40" i="19"/>
  <c r="F40" i="19"/>
  <c r="G40" i="19"/>
  <c r="H40" i="19"/>
  <c r="I40" i="19"/>
  <c r="J40" i="19"/>
  <c r="B40" i="19"/>
  <c r="A40" i="19"/>
  <c r="K38" i="19"/>
  <c r="L38" i="19"/>
  <c r="J38" i="19"/>
  <c r="H38" i="19"/>
  <c r="G38" i="19"/>
  <c r="E38" i="19"/>
  <c r="C38" i="19"/>
  <c r="B38" i="19"/>
  <c r="A38" i="19"/>
  <c r="G26" i="14" l="1"/>
  <c r="G4" i="14"/>
  <c r="G3" i="14"/>
  <c r="E26" i="19"/>
  <c r="E27" i="19"/>
  <c r="E28" i="19"/>
  <c r="E29" i="19"/>
  <c r="E30" i="19"/>
  <c r="E25" i="19"/>
  <c r="E14" i="19"/>
  <c r="E4" i="19"/>
  <c r="E5" i="19"/>
  <c r="E6" i="19"/>
  <c r="E7" i="19"/>
  <c r="E8" i="19"/>
  <c r="E9" i="19"/>
  <c r="E10" i="19"/>
  <c r="E11" i="19"/>
  <c r="E12" i="19"/>
  <c r="E13" i="19"/>
  <c r="E3" i="19"/>
  <c r="D29" i="19"/>
  <c r="D30" i="19"/>
  <c r="C29" i="19"/>
  <c r="G29" i="19" s="1"/>
  <c r="C30" i="19"/>
  <c r="B29" i="19"/>
  <c r="B30" i="19"/>
  <c r="H30" i="19" s="1"/>
  <c r="D5" i="19"/>
  <c r="D6" i="19"/>
  <c r="D7" i="19"/>
  <c r="D8" i="19"/>
  <c r="D9" i="19"/>
  <c r="D10" i="19"/>
  <c r="C5" i="19"/>
  <c r="C6" i="19"/>
  <c r="C7" i="19"/>
  <c r="C8" i="19"/>
  <c r="C9" i="19"/>
  <c r="C10" i="19"/>
  <c r="B5" i="19"/>
  <c r="B6" i="19"/>
  <c r="B7" i="19"/>
  <c r="B8" i="19"/>
  <c r="B9" i="19"/>
  <c r="B10" i="19"/>
  <c r="H10" i="19" l="1"/>
  <c r="H9" i="19"/>
  <c r="H6" i="19"/>
  <c r="G5" i="19"/>
  <c r="G6" i="19"/>
  <c r="G10" i="19"/>
  <c r="I30" i="19"/>
  <c r="H8" i="19"/>
  <c r="G9" i="19"/>
  <c r="G7" i="19"/>
  <c r="F6" i="19"/>
  <c r="G30" i="19"/>
  <c r="G8" i="19"/>
  <c r="I29" i="19"/>
  <c r="I7" i="19"/>
  <c r="I9" i="19"/>
  <c r="I6" i="19"/>
  <c r="I5" i="19"/>
  <c r="I8" i="19"/>
  <c r="H7" i="19"/>
  <c r="H5" i="19"/>
  <c r="I10" i="19"/>
  <c r="H29" i="19"/>
  <c r="F29" i="19"/>
  <c r="F5" i="19"/>
  <c r="C25" i="13"/>
  <c r="D25" i="13"/>
  <c r="D25" i="19" s="1"/>
  <c r="F25" i="19" s="1"/>
  <c r="C26" i="13"/>
  <c r="C26" i="19" s="1"/>
  <c r="G26" i="19" s="1"/>
  <c r="D26" i="19"/>
  <c r="C27" i="13"/>
  <c r="D27" i="19"/>
  <c r="C28" i="13"/>
  <c r="D28" i="19"/>
  <c r="H28" i="19" s="1"/>
  <c r="B26" i="13"/>
  <c r="B27" i="13"/>
  <c r="B27" i="19" s="1"/>
  <c r="B28" i="13"/>
  <c r="B28" i="19" s="1"/>
  <c r="B25" i="13"/>
  <c r="B25" i="19" s="1"/>
  <c r="C14" i="13"/>
  <c r="D14" i="13"/>
  <c r="D14" i="19" s="1"/>
  <c r="B14" i="13"/>
  <c r="B14" i="19" s="1"/>
  <c r="C12" i="13"/>
  <c r="C13" i="13"/>
  <c r="D12" i="13"/>
  <c r="D12" i="19" s="1"/>
  <c r="D13" i="13"/>
  <c r="D13" i="19" s="1"/>
  <c r="C11" i="13"/>
  <c r="D11" i="13"/>
  <c r="B13" i="13"/>
  <c r="B13" i="19" s="1"/>
  <c r="H13" i="19" s="1"/>
  <c r="B12" i="13"/>
  <c r="B12" i="19" s="1"/>
  <c r="B11" i="13"/>
  <c r="B11" i="19" s="1"/>
  <c r="H29" i="13"/>
  <c r="J29" i="19" s="1"/>
  <c r="H30" i="13"/>
  <c r="J30" i="19" s="1"/>
  <c r="H5" i="13"/>
  <c r="J5" i="19" s="1"/>
  <c r="H6" i="13"/>
  <c r="J6" i="19" s="1"/>
  <c r="H7" i="13"/>
  <c r="J7" i="19" s="1"/>
  <c r="H8" i="13"/>
  <c r="J8" i="19" s="1"/>
  <c r="H9" i="13"/>
  <c r="J9" i="19" s="1"/>
  <c r="H10" i="13"/>
  <c r="J10" i="19" s="1"/>
  <c r="I29" i="13"/>
  <c r="K29" i="19" s="1"/>
  <c r="I30" i="13"/>
  <c r="K30" i="19" s="1"/>
  <c r="I5" i="13"/>
  <c r="K5" i="19" s="1"/>
  <c r="I6" i="13"/>
  <c r="K6" i="19" s="1"/>
  <c r="I7" i="13"/>
  <c r="K7" i="19" s="1"/>
  <c r="I8" i="13"/>
  <c r="K8" i="19" s="1"/>
  <c r="I9" i="13"/>
  <c r="K9" i="19" s="1"/>
  <c r="I10" i="13"/>
  <c r="K10" i="19" s="1"/>
  <c r="H3" i="12"/>
  <c r="C3" i="12"/>
  <c r="B3" i="12"/>
  <c r="F12" i="5"/>
  <c r="B3" i="5"/>
  <c r="C3" i="5"/>
  <c r="D11" i="19" l="1"/>
  <c r="H11" i="19" s="1"/>
  <c r="F11" i="13"/>
  <c r="F27" i="19"/>
  <c r="I26" i="13"/>
  <c r="K26" i="19" s="1"/>
  <c r="H28" i="13"/>
  <c r="J28" i="19" s="1"/>
  <c r="H27" i="19"/>
  <c r="H12" i="19"/>
  <c r="F14" i="19"/>
  <c r="H14" i="19"/>
  <c r="H25" i="19"/>
  <c r="I25" i="13"/>
  <c r="K25" i="19" s="1"/>
  <c r="C25" i="19"/>
  <c r="I12" i="13"/>
  <c r="K12" i="19" s="1"/>
  <c r="C12" i="19"/>
  <c r="I14" i="13"/>
  <c r="K14" i="19" s="1"/>
  <c r="C14" i="19"/>
  <c r="F26" i="13"/>
  <c r="B26" i="19"/>
  <c r="I11" i="13"/>
  <c r="K11" i="19" s="1"/>
  <c r="C11" i="19"/>
  <c r="I13" i="13"/>
  <c r="K13" i="19" s="1"/>
  <c r="C13" i="19"/>
  <c r="I26" i="19"/>
  <c r="F12" i="19"/>
  <c r="I27" i="13"/>
  <c r="K27" i="19" s="1"/>
  <c r="C27" i="19"/>
  <c r="I28" i="13"/>
  <c r="K28" i="19" s="1"/>
  <c r="C28" i="19"/>
  <c r="H14" i="13"/>
  <c r="J14" i="19" s="1"/>
  <c r="H27" i="13"/>
  <c r="J27" i="19" s="1"/>
  <c r="H26" i="13"/>
  <c r="J26" i="19" s="1"/>
  <c r="F25" i="13"/>
  <c r="H25" i="13"/>
  <c r="J25" i="19" s="1"/>
  <c r="F14" i="13"/>
  <c r="C4" i="13"/>
  <c r="H13" i="13"/>
  <c r="J13" i="19" s="1"/>
  <c r="H12" i="13"/>
  <c r="J12" i="19" s="1"/>
  <c r="D4" i="13"/>
  <c r="F4" i="13" s="1"/>
  <c r="B4" i="13"/>
  <c r="H11" i="13"/>
  <c r="J11" i="19" s="1"/>
  <c r="I5" i="5"/>
  <c r="I6" i="5"/>
  <c r="I7" i="5"/>
  <c r="I8" i="5"/>
  <c r="I9" i="5"/>
  <c r="I10" i="5"/>
  <c r="H5" i="5"/>
  <c r="H6" i="5"/>
  <c r="H7" i="5"/>
  <c r="H8" i="5"/>
  <c r="H9" i="5"/>
  <c r="H10" i="5"/>
  <c r="I13" i="5"/>
  <c r="I14" i="5"/>
  <c r="I25" i="5"/>
  <c r="I27" i="5"/>
  <c r="I28" i="5"/>
  <c r="I29" i="5"/>
  <c r="I30" i="5"/>
  <c r="I26" i="5"/>
  <c r="I12" i="5"/>
  <c r="I11" i="5"/>
  <c r="E4" i="5"/>
  <c r="H3" i="5"/>
  <c r="F25" i="5"/>
  <c r="F14" i="5"/>
  <c r="F11" i="5"/>
  <c r="H27" i="5"/>
  <c r="H28" i="5"/>
  <c r="H29" i="5"/>
  <c r="H30" i="5"/>
  <c r="H26" i="5"/>
  <c r="H25" i="5"/>
  <c r="H14" i="5"/>
  <c r="H11" i="5"/>
  <c r="H12" i="5"/>
  <c r="H13" i="5"/>
  <c r="F11" i="19" l="1"/>
  <c r="D3" i="19"/>
  <c r="D4" i="19"/>
  <c r="C3" i="13"/>
  <c r="C4" i="19"/>
  <c r="I11" i="19"/>
  <c r="G11" i="19"/>
  <c r="B4" i="19"/>
  <c r="G25" i="19"/>
  <c r="I25" i="19"/>
  <c r="G13" i="19"/>
  <c r="I13" i="19"/>
  <c r="F26" i="19"/>
  <c r="H26" i="19"/>
  <c r="I14" i="19"/>
  <c r="G14" i="19"/>
  <c r="G12" i="19"/>
  <c r="I12" i="19"/>
  <c r="I28" i="19"/>
  <c r="G28" i="19"/>
  <c r="I4" i="13"/>
  <c r="K4" i="19" s="1"/>
  <c r="G27" i="19"/>
  <c r="I27" i="19"/>
  <c r="H4" i="13"/>
  <c r="J4" i="19" s="1"/>
  <c r="B3" i="13"/>
  <c r="E3" i="5"/>
  <c r="I4" i="5"/>
  <c r="H4" i="5"/>
  <c r="F4" i="5"/>
  <c r="F3" i="5"/>
  <c r="H4" i="19" l="1"/>
  <c r="H3" i="13"/>
  <c r="J3" i="19" s="1"/>
  <c r="B3" i="19"/>
  <c r="H3" i="19" s="1"/>
  <c r="F4" i="19"/>
  <c r="G4" i="19"/>
  <c r="I4" i="19"/>
  <c r="I3" i="13"/>
  <c r="K3" i="19" s="1"/>
  <c r="C3" i="19"/>
  <c r="F3" i="13"/>
  <c r="I3" i="5"/>
  <c r="F3" i="19" l="1"/>
  <c r="I3" i="19"/>
  <c r="G3" i="19"/>
</calcChain>
</file>

<file path=xl/sharedStrings.xml><?xml version="1.0" encoding="utf-8"?>
<sst xmlns="http://schemas.openxmlformats.org/spreadsheetml/2006/main" count="428" uniqueCount="72">
  <si>
    <t>科目</t>
  </si>
  <si>
    <t>预算批复数</t>
  </si>
  <si>
    <t>预算执行数</t>
  </si>
  <si>
    <t>执行率</t>
  </si>
  <si>
    <t>结余数</t>
  </si>
  <si>
    <t>中央财政资金</t>
  </si>
  <si>
    <t>其他来源资金</t>
  </si>
  <si>
    <t>一、课题支出合计</t>
  </si>
  <si>
    <t>（一）直接费用</t>
  </si>
  <si>
    <t>1.设备费</t>
  </si>
  <si>
    <r>
      <t>（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</rPr>
      <t>）购置设备费</t>
    </r>
  </si>
  <si>
    <r>
      <t>（</t>
    </r>
    <r>
      <rPr>
        <sz val="10"/>
        <color rgb="FF000000"/>
        <rFont val="Times New Roman"/>
        <family val="1"/>
      </rPr>
      <t>2</t>
    </r>
    <r>
      <rPr>
        <sz val="10"/>
        <color rgb="FF000000"/>
        <rFont val="宋体"/>
        <family val="3"/>
        <charset val="134"/>
      </rPr>
      <t>）试制设备费</t>
    </r>
  </si>
  <si>
    <r>
      <t>（</t>
    </r>
    <r>
      <rPr>
        <sz val="10"/>
        <color rgb="FF000000"/>
        <rFont val="Times New Roman"/>
        <family val="1"/>
      </rPr>
      <t>3</t>
    </r>
    <r>
      <rPr>
        <sz val="10"/>
        <color rgb="FF000000"/>
        <rFont val="宋体"/>
        <family val="3"/>
        <charset val="134"/>
      </rPr>
      <t>）设备改造与租赁费</t>
    </r>
  </si>
  <si>
    <t xml:space="preserve">   1）设备改造费</t>
  </si>
  <si>
    <t xml:space="preserve">   2）设备租赁费</t>
  </si>
  <si>
    <t>2.材料费</t>
  </si>
  <si>
    <t>3.测试化验加工费</t>
  </si>
  <si>
    <t>4.燃料动力费</t>
  </si>
  <si>
    <r>
      <t>5.会议</t>
    </r>
    <r>
      <rPr>
        <b/>
        <sz val="10"/>
        <color rgb="FF000000"/>
        <rFont val="Times New Roman"/>
        <family val="1"/>
      </rPr>
      <t>/</t>
    </r>
    <r>
      <rPr>
        <b/>
        <sz val="10"/>
        <color rgb="FF000000"/>
        <rFont val="宋体"/>
        <family val="3"/>
        <charset val="134"/>
      </rPr>
      <t>差旅</t>
    </r>
    <r>
      <rPr>
        <b/>
        <sz val="10"/>
        <color rgb="FF000000"/>
        <rFont val="Times New Roman"/>
        <family val="1"/>
      </rPr>
      <t>/</t>
    </r>
    <r>
      <rPr>
        <b/>
        <sz val="10"/>
        <color rgb="FF000000"/>
        <rFont val="宋体"/>
        <family val="3"/>
        <charset val="134"/>
      </rPr>
      <t>国际合作交流费</t>
    </r>
  </si>
  <si>
    <r>
      <t>6.出版</t>
    </r>
    <r>
      <rPr>
        <b/>
        <sz val="10"/>
        <color rgb="FF000000"/>
        <rFont val="Times New Roman"/>
        <family val="1"/>
      </rPr>
      <t>/</t>
    </r>
    <r>
      <rPr>
        <b/>
        <sz val="10"/>
        <color rgb="FF000000"/>
        <rFont val="宋体"/>
        <family val="3"/>
        <charset val="134"/>
      </rPr>
      <t>文献</t>
    </r>
    <r>
      <rPr>
        <b/>
        <sz val="10"/>
        <color rgb="FF000000"/>
        <rFont val="Times New Roman"/>
        <family val="1"/>
      </rPr>
      <t>/</t>
    </r>
    <r>
      <rPr>
        <b/>
        <sz val="10"/>
        <color rgb="FF000000"/>
        <rFont val="宋体"/>
        <family val="3"/>
        <charset val="134"/>
      </rPr>
      <t>信息传播</t>
    </r>
    <r>
      <rPr>
        <b/>
        <sz val="10"/>
        <color rgb="FF000000"/>
        <rFont val="Times New Roman"/>
        <family val="1"/>
      </rPr>
      <t>/</t>
    </r>
    <r>
      <rPr>
        <b/>
        <sz val="10"/>
        <color rgb="FF000000"/>
        <rFont val="宋体"/>
        <family val="3"/>
        <charset val="134"/>
      </rPr>
      <t>知识产权事务费</t>
    </r>
  </si>
  <si>
    <t>7.劳务费</t>
  </si>
  <si>
    <t>8.专家咨询费</t>
  </si>
  <si>
    <t>9.其他支出</t>
  </si>
  <si>
    <t>（二）间接费用</t>
  </si>
  <si>
    <t>二、课题收入合计</t>
  </si>
  <si>
    <r>
      <t>1.</t>
    </r>
    <r>
      <rPr>
        <b/>
        <sz val="10"/>
        <color rgb="FF000000"/>
        <rFont val="等线"/>
        <family val="3"/>
        <charset val="134"/>
      </rPr>
      <t>设备费</t>
    </r>
  </si>
  <si>
    <t>（1）购置设备费</t>
  </si>
  <si>
    <t>（2）试制设备费</t>
  </si>
  <si>
    <t>（3）设备改造与租赁费</t>
  </si>
  <si>
    <r>
      <t xml:space="preserve">   1</t>
    </r>
    <r>
      <rPr>
        <sz val="10"/>
        <color rgb="FF000000"/>
        <rFont val="等线"/>
        <family val="3"/>
        <charset val="134"/>
      </rPr>
      <t>）设备改造费</t>
    </r>
  </si>
  <si>
    <r>
      <t xml:space="preserve">   2</t>
    </r>
    <r>
      <rPr>
        <sz val="10"/>
        <color rgb="FF000000"/>
        <rFont val="等线"/>
        <family val="3"/>
        <charset val="134"/>
      </rPr>
      <t>）设备租赁费</t>
    </r>
  </si>
  <si>
    <r>
      <t>2.</t>
    </r>
    <r>
      <rPr>
        <b/>
        <sz val="10"/>
        <color rgb="FF000000"/>
        <rFont val="等线"/>
        <family val="3"/>
        <charset val="134"/>
      </rPr>
      <t>材料费</t>
    </r>
  </si>
  <si>
    <r>
      <t>3.</t>
    </r>
    <r>
      <rPr>
        <b/>
        <sz val="10"/>
        <color rgb="FF000000"/>
        <rFont val="等线"/>
        <family val="3"/>
        <charset val="134"/>
      </rPr>
      <t>测试化验加工费</t>
    </r>
  </si>
  <si>
    <r>
      <t>4.</t>
    </r>
    <r>
      <rPr>
        <b/>
        <sz val="10"/>
        <color rgb="FF000000"/>
        <rFont val="等线"/>
        <family val="3"/>
        <charset val="134"/>
      </rPr>
      <t>燃料动力费</t>
    </r>
  </si>
  <si>
    <r>
      <t>5.</t>
    </r>
    <r>
      <rPr>
        <b/>
        <sz val="10"/>
        <color rgb="FF000000"/>
        <rFont val="等线"/>
        <family val="3"/>
        <charset val="134"/>
      </rPr>
      <t>会议/差旅/国际合作交流费</t>
    </r>
  </si>
  <si>
    <r>
      <t>6.</t>
    </r>
    <r>
      <rPr>
        <b/>
        <sz val="10"/>
        <color rgb="FF000000"/>
        <rFont val="等线"/>
        <family val="3"/>
        <charset val="134"/>
      </rPr>
      <t>出版/文献/信息传播/知识产权事务费</t>
    </r>
  </si>
  <si>
    <r>
      <t>7.</t>
    </r>
    <r>
      <rPr>
        <b/>
        <sz val="10"/>
        <color rgb="FF000000"/>
        <rFont val="等线"/>
        <family val="3"/>
        <charset val="134"/>
      </rPr>
      <t>劳务费</t>
    </r>
  </si>
  <si>
    <r>
      <t>8.</t>
    </r>
    <r>
      <rPr>
        <b/>
        <sz val="10"/>
        <color rgb="FF000000"/>
        <rFont val="等线"/>
        <family val="3"/>
        <charset val="134"/>
      </rPr>
      <t>专家咨询费</t>
    </r>
  </si>
  <si>
    <r>
      <t>9.</t>
    </r>
    <r>
      <rPr>
        <b/>
        <sz val="10"/>
        <color rgb="FF000000"/>
        <rFont val="等线"/>
        <family val="3"/>
        <charset val="134"/>
      </rPr>
      <t>其他支出</t>
    </r>
  </si>
  <si>
    <t>总资金</t>
  </si>
  <si>
    <t>中央财政专项资金</t>
  </si>
  <si>
    <t>预算数</t>
  </si>
  <si>
    <t>累计到位数</t>
  </si>
  <si>
    <t>拨付课题参与单位金额</t>
  </si>
  <si>
    <t>累计资金支出数</t>
  </si>
  <si>
    <t>是否按计划拨付课题参与单位</t>
  </si>
  <si>
    <t>是</t>
  </si>
  <si>
    <t>总人数</t>
  </si>
  <si>
    <t>其中女性</t>
  </si>
  <si>
    <t>高级职称</t>
  </si>
  <si>
    <t>中级职称</t>
  </si>
  <si>
    <t>初职职称</t>
  </si>
  <si>
    <t>其他人员</t>
  </si>
  <si>
    <t>博士</t>
  </si>
  <si>
    <t>硕士</t>
  </si>
  <si>
    <t>学士</t>
  </si>
  <si>
    <t>其他学历</t>
  </si>
  <si>
    <t>总人年</t>
  </si>
  <si>
    <t>序号</t>
  </si>
  <si>
    <t>栏目</t>
  </si>
  <si>
    <t>资金来源合计</t>
  </si>
  <si>
    <t>小计</t>
  </si>
  <si>
    <t>（1）地方财政资金</t>
  </si>
  <si>
    <t>（2）单位自有资金</t>
  </si>
  <si>
    <t>（3）其他资金</t>
  </si>
  <si>
    <t>2025年</t>
  </si>
  <si>
    <t>当年到位数</t>
  </si>
  <si>
    <t>资金到款时间（以银行入账时间为准）</t>
  </si>
  <si>
    <t>-</t>
  </si>
  <si>
    <t>2025.6.18</t>
  </si>
  <si>
    <t>2026年</t>
  </si>
  <si>
    <t>2025.6.30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</si>
</sst>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000000"/>
      <name val="宋体"/>
      <family val="3"/>
      <charset val="134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000000"/>
      <name val="宋体"/>
      <family val="3"/>
      <charset val="134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b/>
      <sz val="10.5"/>
      <color rgb="FF000000"/>
      <name val="宋体"/>
      <family val="3"/>
      <charset val="134"/>
    </font>
    <font>
      <b/>
      <sz val="10.5"/>
      <color rgb="FF000000"/>
      <name val="Times New Roman"/>
      <family val="1"/>
    </font>
    <font>
      <sz val="10"/>
      <color theme="1"/>
      <name val="Times New Roman"/>
      <family val="1"/>
    </font>
    <font>
      <sz val="10.5"/>
      <color theme="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8000"/>
      <name val="Arial"/>
      <family val="2"/>
    </font>
    <font>
      <b/>
      <sz val="10"/>
      <color theme="1"/>
      <name val="宋体"/>
      <family val="3"/>
      <charset val="134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0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10" fontId="4" fillId="0" borderId="3" xfId="0" applyNumberFormat="1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14" fontId="18" fillId="2" borderId="3" xfId="0" applyNumberFormat="1" applyFont="1" applyFill="1" applyBorder="1" applyAlignment="1">
      <alignment horizontal="center" vertical="center" wrapText="1"/>
    </xf>
    <xf numFmtId="14" fontId="13" fillId="2" borderId="3" xfId="0" applyNumberFormat="1" applyFont="1" applyFill="1" applyBorder="1" applyAlignment="1">
      <alignment horizontal="center" vertical="center" wrapText="1"/>
    </xf>
    <xf numFmtId="10" fontId="4" fillId="0" borderId="8" xfId="0" applyNumberFormat="1" applyFont="1" applyBorder="1" applyAlignment="1">
      <alignment horizontal="center" vertical="center" wrapText="1"/>
    </xf>
    <xf numFmtId="10" fontId="4" fillId="0" borderId="6" xfId="0" applyNumberFormat="1" applyFont="1" applyBorder="1" applyAlignment="1">
      <alignment horizontal="center" vertical="center" wrapText="1"/>
    </xf>
    <xf numFmtId="10" fontId="4" fillId="0" borderId="4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4" fillId="0" borderId="8" xfId="0" applyNumberFormat="1" applyFont="1" applyBorder="1" applyAlignment="1">
      <alignment horizontal="center" vertical="center" wrapText="1"/>
    </xf>
    <xf numFmtId="0" fontId="4" fillId="0" borderId="6" xfId="0" applyNumberFormat="1" applyFont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3342C-2A8A-4A0F-80FE-9E8D17E28834}">
  <dimension ref="A1:I30"/>
  <sheetViews>
    <sheetView zoomScaleNormal="100" workbookViewId="0">
      <selection activeCell="K31" sqref="K31"/>
    </sheetView>
  </sheetViews>
  <sheetFormatPr defaultRowHeight="14.25" x14ac:dyDescent="0.2"/>
  <cols>
    <col min="1" max="1" width="25.75" bestFit="1" customWidth="1"/>
    <col min="2" max="3" width="8.5" bestFit="1" customWidth="1"/>
    <col min="4" max="4" width="9" bestFit="1" customWidth="1"/>
    <col min="5" max="5" width="8.5" bestFit="1" customWidth="1"/>
    <col min="6" max="6" width="9" bestFit="1" customWidth="1"/>
    <col min="7" max="9" width="8.5" bestFit="1" customWidth="1"/>
  </cols>
  <sheetData>
    <row r="1" spans="1:9" ht="15" thickBot="1" x14ac:dyDescent="0.25">
      <c r="A1" s="50" t="s">
        <v>0</v>
      </c>
      <c r="B1" s="52" t="s">
        <v>1</v>
      </c>
      <c r="C1" s="53"/>
      <c r="D1" s="54" t="s">
        <v>2</v>
      </c>
      <c r="E1" s="53"/>
      <c r="F1" s="54" t="s">
        <v>3</v>
      </c>
      <c r="G1" s="53"/>
      <c r="H1" s="54" t="s">
        <v>4</v>
      </c>
      <c r="I1" s="53"/>
    </row>
    <row r="2" spans="1:9" ht="24.75" thickBot="1" x14ac:dyDescent="0.25">
      <c r="A2" s="51"/>
      <c r="B2" s="1" t="s">
        <v>5</v>
      </c>
      <c r="C2" s="1" t="s">
        <v>6</v>
      </c>
      <c r="D2" s="1" t="s">
        <v>5</v>
      </c>
      <c r="E2" s="1" t="s">
        <v>6</v>
      </c>
      <c r="F2" s="2" t="s">
        <v>5</v>
      </c>
      <c r="G2" s="2" t="s">
        <v>6</v>
      </c>
      <c r="H2" s="2" t="s">
        <v>5</v>
      </c>
      <c r="I2" s="2" t="s">
        <v>6</v>
      </c>
    </row>
    <row r="3" spans="1:9" ht="15" thickBot="1" x14ac:dyDescent="0.25">
      <c r="A3" s="3" t="s">
        <v>7</v>
      </c>
      <c r="B3" s="4">
        <f>B4+B29</f>
        <v>88</v>
      </c>
      <c r="C3" s="4">
        <f>C4+C29</f>
        <v>176</v>
      </c>
      <c r="D3" s="4">
        <f>D4+D29</f>
        <v>54.920604999999995</v>
      </c>
      <c r="E3" s="5">
        <f>E4+E29</f>
        <v>45.319164999999998</v>
      </c>
      <c r="F3" s="6">
        <f>D3/B3</f>
        <v>0.62409778409090899</v>
      </c>
      <c r="G3" s="6">
        <f>E3/C3</f>
        <v>0.25749525568181819</v>
      </c>
      <c r="H3" s="7">
        <f>B3-D3</f>
        <v>33.079395000000005</v>
      </c>
      <c r="I3" s="7">
        <f>C3-E3</f>
        <v>130.680835</v>
      </c>
    </row>
    <row r="4" spans="1:9" ht="15" thickBot="1" x14ac:dyDescent="0.25">
      <c r="A4" s="8" t="s">
        <v>8</v>
      </c>
      <c r="B4" s="4">
        <v>68</v>
      </c>
      <c r="C4" s="4">
        <v>176</v>
      </c>
      <c r="D4" s="4">
        <f>D5+D11+D12+D13+D14+D25+D26+D27+D28</f>
        <v>41.632604999999998</v>
      </c>
      <c r="E4" s="5">
        <f>E5+E11+E12+E13+E14+E25+E26+E27+E28</f>
        <v>45.319164999999998</v>
      </c>
      <c r="F4" s="6">
        <f>D4/B4</f>
        <v>0.61224419117647055</v>
      </c>
      <c r="G4" s="6">
        <f t="shared" ref="G4:G13" si="0">E4/C4</f>
        <v>0.25749525568181819</v>
      </c>
      <c r="H4" s="7">
        <f t="shared" ref="H4:I13" si="1">B4-D4</f>
        <v>26.367395000000002</v>
      </c>
      <c r="I4" s="7">
        <f t="shared" si="1"/>
        <v>130.680835</v>
      </c>
    </row>
    <row r="5" spans="1:9" ht="15" thickBot="1" x14ac:dyDescent="0.25">
      <c r="A5" s="8" t="s">
        <v>9</v>
      </c>
      <c r="B5" s="4">
        <v>0</v>
      </c>
      <c r="C5" s="4">
        <v>0</v>
      </c>
      <c r="D5" s="4">
        <v>0</v>
      </c>
      <c r="E5" s="5">
        <v>0</v>
      </c>
      <c r="F5" s="5">
        <v>0</v>
      </c>
      <c r="G5" s="6" t="e">
        <f t="shared" si="0"/>
        <v>#DIV/0!</v>
      </c>
      <c r="H5" s="7">
        <f t="shared" si="1"/>
        <v>0</v>
      </c>
      <c r="I5" s="7">
        <f t="shared" si="1"/>
        <v>0</v>
      </c>
    </row>
    <row r="6" spans="1:9" ht="15" thickBot="1" x14ac:dyDescent="0.25">
      <c r="A6" s="10" t="s">
        <v>10</v>
      </c>
      <c r="B6" s="4">
        <v>0</v>
      </c>
      <c r="C6" s="4">
        <v>0</v>
      </c>
      <c r="D6" s="4">
        <v>0</v>
      </c>
      <c r="E6" s="5">
        <v>0</v>
      </c>
      <c r="F6" s="5">
        <v>0</v>
      </c>
      <c r="G6" s="6" t="e">
        <f t="shared" si="0"/>
        <v>#DIV/0!</v>
      </c>
      <c r="H6" s="7">
        <f t="shared" si="1"/>
        <v>0</v>
      </c>
      <c r="I6" s="7">
        <f t="shared" si="1"/>
        <v>0</v>
      </c>
    </row>
    <row r="7" spans="1:9" ht="15" thickBot="1" x14ac:dyDescent="0.25">
      <c r="A7" s="10" t="s">
        <v>11</v>
      </c>
      <c r="B7" s="4">
        <v>0</v>
      </c>
      <c r="C7" s="4">
        <v>0</v>
      </c>
      <c r="D7" s="4">
        <v>0</v>
      </c>
      <c r="E7" s="5">
        <v>0</v>
      </c>
      <c r="F7" s="5">
        <v>0</v>
      </c>
      <c r="G7" s="6" t="e">
        <f t="shared" si="0"/>
        <v>#DIV/0!</v>
      </c>
      <c r="H7" s="7">
        <f t="shared" si="1"/>
        <v>0</v>
      </c>
      <c r="I7" s="7">
        <f t="shared" si="1"/>
        <v>0</v>
      </c>
    </row>
    <row r="8" spans="1:9" ht="15" thickBot="1" x14ac:dyDescent="0.25">
      <c r="A8" s="10" t="s">
        <v>12</v>
      </c>
      <c r="B8" s="4">
        <v>0</v>
      </c>
      <c r="C8" s="4">
        <v>0</v>
      </c>
      <c r="D8" s="4">
        <v>0</v>
      </c>
      <c r="E8" s="5">
        <v>0</v>
      </c>
      <c r="F8" s="5">
        <v>0</v>
      </c>
      <c r="G8" s="6" t="e">
        <f t="shared" si="0"/>
        <v>#DIV/0!</v>
      </c>
      <c r="H8" s="7">
        <f t="shared" si="1"/>
        <v>0</v>
      </c>
      <c r="I8" s="7">
        <f t="shared" si="1"/>
        <v>0</v>
      </c>
    </row>
    <row r="9" spans="1:9" ht="15" thickBot="1" x14ac:dyDescent="0.25">
      <c r="A9" s="10" t="s">
        <v>13</v>
      </c>
      <c r="B9" s="4">
        <v>0</v>
      </c>
      <c r="C9" s="4">
        <v>0</v>
      </c>
      <c r="D9" s="4">
        <v>0</v>
      </c>
      <c r="E9" s="5">
        <v>0</v>
      </c>
      <c r="F9" s="5">
        <v>0</v>
      </c>
      <c r="G9" s="6" t="e">
        <f t="shared" si="0"/>
        <v>#DIV/0!</v>
      </c>
      <c r="H9" s="7">
        <f t="shared" si="1"/>
        <v>0</v>
      </c>
      <c r="I9" s="7">
        <f t="shared" si="1"/>
        <v>0</v>
      </c>
    </row>
    <row r="10" spans="1:9" ht="15" thickBot="1" x14ac:dyDescent="0.25">
      <c r="A10" s="10" t="s">
        <v>14</v>
      </c>
      <c r="B10" s="4">
        <v>0</v>
      </c>
      <c r="C10" s="4">
        <v>0</v>
      </c>
      <c r="D10" s="4">
        <v>0</v>
      </c>
      <c r="E10" s="5">
        <v>0</v>
      </c>
      <c r="F10" s="5">
        <v>0</v>
      </c>
      <c r="G10" s="6" t="e">
        <f t="shared" si="0"/>
        <v>#DIV/0!</v>
      </c>
      <c r="H10" s="7">
        <f t="shared" si="1"/>
        <v>0</v>
      </c>
      <c r="I10" s="7">
        <f t="shared" si="1"/>
        <v>0</v>
      </c>
    </row>
    <row r="11" spans="1:9" ht="15" thickBot="1" x14ac:dyDescent="0.25">
      <c r="A11" s="8" t="s">
        <v>15</v>
      </c>
      <c r="B11" s="4">
        <v>23.8</v>
      </c>
      <c r="C11" s="4">
        <v>80</v>
      </c>
      <c r="D11" s="4">
        <v>10.306775</v>
      </c>
      <c r="E11" s="5">
        <v>44.6</v>
      </c>
      <c r="F11" s="9">
        <f>D11/B11</f>
        <v>0.4330577731092437</v>
      </c>
      <c r="G11" s="6">
        <f t="shared" si="0"/>
        <v>0.5575</v>
      </c>
      <c r="H11" s="7">
        <f t="shared" si="1"/>
        <v>13.493225000000001</v>
      </c>
      <c r="I11" s="7">
        <f t="shared" si="1"/>
        <v>35.4</v>
      </c>
    </row>
    <row r="12" spans="1:9" ht="15" thickBot="1" x14ac:dyDescent="0.25">
      <c r="A12" s="8" t="s">
        <v>16</v>
      </c>
      <c r="B12" s="4">
        <v>14</v>
      </c>
      <c r="C12" s="4">
        <v>56</v>
      </c>
      <c r="D12" s="4">
        <v>1.0999999999999999E-2</v>
      </c>
      <c r="E12" s="5">
        <v>0</v>
      </c>
      <c r="F12" s="9">
        <f>D12/B12</f>
        <v>7.8571428571428564E-4</v>
      </c>
      <c r="G12" s="6">
        <f t="shared" si="0"/>
        <v>0</v>
      </c>
      <c r="H12" s="7">
        <f t="shared" si="1"/>
        <v>13.989000000000001</v>
      </c>
      <c r="I12" s="7">
        <f t="shared" si="1"/>
        <v>56</v>
      </c>
    </row>
    <row r="13" spans="1:9" ht="15" thickBot="1" x14ac:dyDescent="0.25">
      <c r="A13" s="8" t="s">
        <v>17</v>
      </c>
      <c r="B13" s="4">
        <v>0</v>
      </c>
      <c r="C13" s="4">
        <v>0</v>
      </c>
      <c r="D13" s="4">
        <v>0</v>
      </c>
      <c r="E13" s="5">
        <v>0</v>
      </c>
      <c r="F13" s="5">
        <v>0</v>
      </c>
      <c r="G13" s="6" t="e">
        <f t="shared" si="0"/>
        <v>#DIV/0!</v>
      </c>
      <c r="H13" s="7">
        <f t="shared" si="1"/>
        <v>0</v>
      </c>
      <c r="I13" s="7">
        <f t="shared" si="1"/>
        <v>0</v>
      </c>
    </row>
    <row r="14" spans="1:9" x14ac:dyDescent="0.2">
      <c r="A14" s="41" t="s">
        <v>18</v>
      </c>
      <c r="B14" s="44">
        <v>8</v>
      </c>
      <c r="C14" s="47">
        <v>0</v>
      </c>
      <c r="D14" s="47">
        <v>7.2527509999999999</v>
      </c>
      <c r="E14" s="38">
        <v>0.71916500000000005</v>
      </c>
      <c r="F14" s="35">
        <f>D14/B14</f>
        <v>0.90659387499999999</v>
      </c>
      <c r="G14" s="35" t="e">
        <f>E14/C14</f>
        <v>#DIV/0!</v>
      </c>
      <c r="H14" s="38">
        <f>B14-D14</f>
        <v>0.74724900000000005</v>
      </c>
      <c r="I14" s="38">
        <f>C14-E14</f>
        <v>-0.71916500000000005</v>
      </c>
    </row>
    <row r="15" spans="1:9" x14ac:dyDescent="0.2">
      <c r="A15" s="42"/>
      <c r="B15" s="45"/>
      <c r="C15" s="48"/>
      <c r="D15" s="48"/>
      <c r="E15" s="39"/>
      <c r="F15" s="36"/>
      <c r="G15" s="36"/>
      <c r="H15" s="39"/>
      <c r="I15" s="39"/>
    </row>
    <row r="16" spans="1:9" x14ac:dyDescent="0.2">
      <c r="A16" s="42"/>
      <c r="B16" s="45"/>
      <c r="C16" s="48"/>
      <c r="D16" s="48"/>
      <c r="E16" s="39"/>
      <c r="F16" s="36"/>
      <c r="G16" s="36"/>
      <c r="H16" s="39"/>
      <c r="I16" s="39"/>
    </row>
    <row r="17" spans="1:9" x14ac:dyDescent="0.2">
      <c r="A17" s="42"/>
      <c r="B17" s="45"/>
      <c r="C17" s="48"/>
      <c r="D17" s="48"/>
      <c r="E17" s="39"/>
      <c r="F17" s="36"/>
      <c r="G17" s="36"/>
      <c r="H17" s="39"/>
      <c r="I17" s="39"/>
    </row>
    <row r="18" spans="1:9" x14ac:dyDescent="0.2">
      <c r="A18" s="42"/>
      <c r="B18" s="45"/>
      <c r="C18" s="48"/>
      <c r="D18" s="48"/>
      <c r="E18" s="39"/>
      <c r="F18" s="36"/>
      <c r="G18" s="36"/>
      <c r="H18" s="39"/>
      <c r="I18" s="39"/>
    </row>
    <row r="19" spans="1:9" x14ac:dyDescent="0.2">
      <c r="A19" s="42"/>
      <c r="B19" s="45"/>
      <c r="C19" s="48"/>
      <c r="D19" s="48"/>
      <c r="E19" s="39"/>
      <c r="F19" s="36"/>
      <c r="G19" s="36"/>
      <c r="H19" s="39"/>
      <c r="I19" s="39"/>
    </row>
    <row r="20" spans="1:9" x14ac:dyDescent="0.2">
      <c r="A20" s="42"/>
      <c r="B20" s="45"/>
      <c r="C20" s="48"/>
      <c r="D20" s="48"/>
      <c r="E20" s="39"/>
      <c r="F20" s="36"/>
      <c r="G20" s="36"/>
      <c r="H20" s="39"/>
      <c r="I20" s="39"/>
    </row>
    <row r="21" spans="1:9" x14ac:dyDescent="0.2">
      <c r="A21" s="42"/>
      <c r="B21" s="45"/>
      <c r="C21" s="48"/>
      <c r="D21" s="48"/>
      <c r="E21" s="39"/>
      <c r="F21" s="36"/>
      <c r="G21" s="36"/>
      <c r="H21" s="39"/>
      <c r="I21" s="39"/>
    </row>
    <row r="22" spans="1:9" x14ac:dyDescent="0.2">
      <c r="A22" s="42"/>
      <c r="B22" s="45"/>
      <c r="C22" s="48"/>
      <c r="D22" s="48"/>
      <c r="E22" s="39"/>
      <c r="F22" s="36"/>
      <c r="G22" s="36"/>
      <c r="H22" s="39"/>
      <c r="I22" s="39"/>
    </row>
    <row r="23" spans="1:9" x14ac:dyDescent="0.2">
      <c r="A23" s="42"/>
      <c r="B23" s="45"/>
      <c r="C23" s="48"/>
      <c r="D23" s="48"/>
      <c r="E23" s="39"/>
      <c r="F23" s="36"/>
      <c r="G23" s="36"/>
      <c r="H23" s="39"/>
      <c r="I23" s="39"/>
    </row>
    <row r="24" spans="1:9" ht="15" thickBot="1" x14ac:dyDescent="0.25">
      <c r="A24" s="43"/>
      <c r="B24" s="46"/>
      <c r="C24" s="49"/>
      <c r="D24" s="49"/>
      <c r="E24" s="40"/>
      <c r="F24" s="37"/>
      <c r="G24" s="37"/>
      <c r="H24" s="40"/>
      <c r="I24" s="40"/>
    </row>
    <row r="25" spans="1:9" ht="25.5" thickBot="1" x14ac:dyDescent="0.25">
      <c r="A25" s="8" t="s">
        <v>19</v>
      </c>
      <c r="B25" s="4">
        <v>6</v>
      </c>
      <c r="C25" s="4">
        <v>0</v>
      </c>
      <c r="D25" s="4">
        <v>1.9120790000000001</v>
      </c>
      <c r="E25" s="5">
        <v>0</v>
      </c>
      <c r="F25" s="9">
        <f>D25/B25</f>
        <v>0.31867983333333333</v>
      </c>
      <c r="G25" s="9" t="e">
        <f>E25/C25</f>
        <v>#DIV/0!</v>
      </c>
      <c r="H25" s="5">
        <f>B25-D25</f>
        <v>4.0879209999999997</v>
      </c>
      <c r="I25" s="5">
        <f>C25-E25</f>
        <v>0</v>
      </c>
    </row>
    <row r="26" spans="1:9" ht="15" thickBot="1" x14ac:dyDescent="0.25">
      <c r="A26" s="8" t="s">
        <v>20</v>
      </c>
      <c r="B26" s="4">
        <v>13.2</v>
      </c>
      <c r="C26" s="4">
        <v>40</v>
      </c>
      <c r="D26" s="4">
        <v>21.45</v>
      </c>
      <c r="E26" s="5">
        <v>0</v>
      </c>
      <c r="F26" s="9">
        <f t="shared" ref="F26:F30" si="2">D26/B26</f>
        <v>1.625</v>
      </c>
      <c r="G26" s="9">
        <f t="shared" ref="G26:G30" si="3">E26/C26</f>
        <v>0</v>
      </c>
      <c r="H26" s="5">
        <f>B26-D26</f>
        <v>-8.25</v>
      </c>
      <c r="I26" s="5">
        <f>C26-E26</f>
        <v>40</v>
      </c>
    </row>
    <row r="27" spans="1:9" ht="15" thickBot="1" x14ac:dyDescent="0.25">
      <c r="A27" s="8" t="s">
        <v>21</v>
      </c>
      <c r="B27" s="4">
        <v>3</v>
      </c>
      <c r="C27" s="4">
        <v>0</v>
      </c>
      <c r="D27" s="4">
        <v>0.7</v>
      </c>
      <c r="E27" s="5">
        <v>0</v>
      </c>
      <c r="F27" s="9">
        <f t="shared" si="2"/>
        <v>0.23333333333333331</v>
      </c>
      <c r="G27" s="9" t="e">
        <f t="shared" si="3"/>
        <v>#DIV/0!</v>
      </c>
      <c r="H27" s="5">
        <f t="shared" ref="H27:H30" si="4">B27-D27</f>
        <v>2.2999999999999998</v>
      </c>
      <c r="I27" s="5">
        <f t="shared" ref="I27:I30" si="5">C27-E27</f>
        <v>0</v>
      </c>
    </row>
    <row r="28" spans="1:9" ht="15" thickBot="1" x14ac:dyDescent="0.25">
      <c r="A28" s="8" t="s">
        <v>22</v>
      </c>
      <c r="B28" s="4">
        <v>0</v>
      </c>
      <c r="C28" s="4">
        <v>0</v>
      </c>
      <c r="D28" s="4">
        <v>0</v>
      </c>
      <c r="E28" s="5">
        <v>0</v>
      </c>
      <c r="F28" s="9" t="e">
        <f t="shared" si="2"/>
        <v>#DIV/0!</v>
      </c>
      <c r="G28" s="9" t="e">
        <f t="shared" si="3"/>
        <v>#DIV/0!</v>
      </c>
      <c r="H28" s="5">
        <f t="shared" si="4"/>
        <v>0</v>
      </c>
      <c r="I28" s="5">
        <f t="shared" si="5"/>
        <v>0</v>
      </c>
    </row>
    <row r="29" spans="1:9" ht="15" thickBot="1" x14ac:dyDescent="0.25">
      <c r="A29" s="8" t="s">
        <v>23</v>
      </c>
      <c r="B29" s="4">
        <v>20</v>
      </c>
      <c r="C29" s="4">
        <v>0</v>
      </c>
      <c r="D29" s="4">
        <v>13.288</v>
      </c>
      <c r="E29" s="5">
        <v>0</v>
      </c>
      <c r="F29" s="9">
        <f t="shared" si="2"/>
        <v>0.66439999999999999</v>
      </c>
      <c r="G29" s="9" t="e">
        <f t="shared" si="3"/>
        <v>#DIV/0!</v>
      </c>
      <c r="H29" s="5">
        <f t="shared" si="4"/>
        <v>6.7119999999999997</v>
      </c>
      <c r="I29" s="5">
        <f t="shared" si="5"/>
        <v>0</v>
      </c>
    </row>
    <row r="30" spans="1:9" ht="15" thickBot="1" x14ac:dyDescent="0.25">
      <c r="A30" s="8" t="s">
        <v>24</v>
      </c>
      <c r="B30" s="4">
        <v>0</v>
      </c>
      <c r="C30" s="4">
        <v>0</v>
      </c>
      <c r="D30" s="4">
        <v>0</v>
      </c>
      <c r="E30" s="5">
        <v>0</v>
      </c>
      <c r="F30" s="9" t="e">
        <f t="shared" si="2"/>
        <v>#DIV/0!</v>
      </c>
      <c r="G30" s="9" t="e">
        <f t="shared" si="3"/>
        <v>#DIV/0!</v>
      </c>
      <c r="H30" s="5">
        <f t="shared" si="4"/>
        <v>0</v>
      </c>
      <c r="I30" s="5">
        <f t="shared" si="5"/>
        <v>0</v>
      </c>
    </row>
  </sheetData>
  <mergeCells count="14">
    <mergeCell ref="A1:A2"/>
    <mergeCell ref="B1:C1"/>
    <mergeCell ref="D1:E1"/>
    <mergeCell ref="F1:G1"/>
    <mergeCell ref="H1:I1"/>
    <mergeCell ref="F14:F24"/>
    <mergeCell ref="G14:G24"/>
    <mergeCell ref="H14:H24"/>
    <mergeCell ref="I14:I24"/>
    <mergeCell ref="A14:A24"/>
    <mergeCell ref="B14:B24"/>
    <mergeCell ref="C14:C24"/>
    <mergeCell ref="D14:D24"/>
    <mergeCell ref="E14:E2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E86B-E03C-4C01-B348-08DAE1462E23}">
  <dimension ref="A1:I30"/>
  <sheetViews>
    <sheetView zoomScaleNormal="100" workbookViewId="0">
      <selection activeCell="F7" sqref="F7"/>
    </sheetView>
  </sheetViews>
  <sheetFormatPr defaultRowHeight="14.25" x14ac:dyDescent="0.2"/>
  <cols>
    <col min="1" max="1" width="25.25" bestFit="1" customWidth="1"/>
    <col min="2" max="9" width="8.5" bestFit="1" customWidth="1"/>
  </cols>
  <sheetData>
    <row r="1" spans="1:9" ht="15" thickBot="1" x14ac:dyDescent="0.25">
      <c r="A1" s="50" t="s">
        <v>0</v>
      </c>
      <c r="B1" s="52" t="s">
        <v>1</v>
      </c>
      <c r="C1" s="53"/>
      <c r="D1" s="54" t="s">
        <v>2</v>
      </c>
      <c r="E1" s="53"/>
      <c r="F1" s="54" t="s">
        <v>3</v>
      </c>
      <c r="G1" s="53"/>
      <c r="H1" s="54" t="s">
        <v>4</v>
      </c>
      <c r="I1" s="53"/>
    </row>
    <row r="2" spans="1:9" ht="24.75" thickBot="1" x14ac:dyDescent="0.25">
      <c r="A2" s="51"/>
      <c r="B2" s="32" t="s">
        <v>5</v>
      </c>
      <c r="C2" s="32" t="s">
        <v>6</v>
      </c>
      <c r="D2" s="32" t="s">
        <v>5</v>
      </c>
      <c r="E2" s="32" t="s">
        <v>6</v>
      </c>
      <c r="F2" s="2" t="s">
        <v>5</v>
      </c>
      <c r="G2" s="2" t="s">
        <v>6</v>
      </c>
      <c r="H2" s="2" t="s">
        <v>5</v>
      </c>
      <c r="I2" s="2" t="s">
        <v>6</v>
      </c>
    </row>
    <row r="3" spans="1:9" ht="15" thickBot="1" x14ac:dyDescent="0.25">
      <c r="A3" s="3" t="s">
        <v>7</v>
      </c>
      <c r="B3" s="4">
        <v>40</v>
      </c>
      <c r="C3" s="4">
        <v>0</v>
      </c>
      <c r="D3" s="5">
        <v>9.6869999999999994</v>
      </c>
      <c r="E3" s="5">
        <v>0</v>
      </c>
      <c r="F3" s="6">
        <v>0.2422</v>
      </c>
      <c r="G3" s="7">
        <v>0</v>
      </c>
      <c r="H3" s="7">
        <v>30.312999999999999</v>
      </c>
      <c r="I3" s="7">
        <v>0</v>
      </c>
    </row>
    <row r="4" spans="1:9" ht="15" thickBot="1" x14ac:dyDescent="0.25">
      <c r="A4" s="8" t="s">
        <v>8</v>
      </c>
      <c r="B4" s="4">
        <v>40</v>
      </c>
      <c r="C4" s="4">
        <v>0</v>
      </c>
      <c r="D4" s="5">
        <v>9.6869999999999994</v>
      </c>
      <c r="E4" s="5">
        <v>0</v>
      </c>
      <c r="F4" s="9">
        <v>0.2422</v>
      </c>
      <c r="G4" s="5">
        <v>0</v>
      </c>
      <c r="H4" s="5">
        <v>30.312999999999999</v>
      </c>
      <c r="I4" s="5">
        <v>0</v>
      </c>
    </row>
    <row r="5" spans="1:9" ht="15" thickBot="1" x14ac:dyDescent="0.25">
      <c r="A5" s="8" t="s">
        <v>9</v>
      </c>
      <c r="B5" s="4">
        <v>0</v>
      </c>
      <c r="C5" s="4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</row>
    <row r="6" spans="1:9" ht="15" thickBot="1" x14ac:dyDescent="0.25">
      <c r="A6" s="10" t="s">
        <v>10</v>
      </c>
      <c r="B6" s="4">
        <v>0</v>
      </c>
      <c r="C6" s="4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</row>
    <row r="7" spans="1:9" ht="15" thickBot="1" x14ac:dyDescent="0.25">
      <c r="A7" s="10" t="s">
        <v>11</v>
      </c>
      <c r="B7" s="4">
        <v>0</v>
      </c>
      <c r="C7" s="4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</row>
    <row r="8" spans="1:9" ht="15" thickBot="1" x14ac:dyDescent="0.25">
      <c r="A8" s="10" t="s">
        <v>12</v>
      </c>
      <c r="B8" s="4">
        <v>0</v>
      </c>
      <c r="C8" s="4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</row>
    <row r="9" spans="1:9" ht="15" thickBot="1" x14ac:dyDescent="0.25">
      <c r="A9" s="10" t="s">
        <v>13</v>
      </c>
      <c r="B9" s="4">
        <v>0</v>
      </c>
      <c r="C9" s="4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</row>
    <row r="10" spans="1:9" ht="15" thickBot="1" x14ac:dyDescent="0.25">
      <c r="A10" s="10" t="s">
        <v>14</v>
      </c>
      <c r="B10" s="4">
        <v>0</v>
      </c>
      <c r="C10" s="4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</row>
    <row r="11" spans="1:9" ht="15" thickBot="1" x14ac:dyDescent="0.25">
      <c r="A11" s="8" t="s">
        <v>15</v>
      </c>
      <c r="B11" s="4">
        <v>23.4</v>
      </c>
      <c r="C11" s="4">
        <v>0</v>
      </c>
      <c r="D11" s="5">
        <v>2.367</v>
      </c>
      <c r="E11" s="5">
        <v>0</v>
      </c>
      <c r="F11" s="9">
        <v>0.1012</v>
      </c>
      <c r="G11" s="5">
        <v>0</v>
      </c>
      <c r="H11" s="5">
        <v>21.033000000000001</v>
      </c>
      <c r="I11" s="5">
        <v>0</v>
      </c>
    </row>
    <row r="12" spans="1:9" ht="15" thickBot="1" x14ac:dyDescent="0.25">
      <c r="A12" s="8" t="s">
        <v>16</v>
      </c>
      <c r="B12" s="4">
        <v>0.8</v>
      </c>
      <c r="C12" s="4">
        <v>0</v>
      </c>
      <c r="D12" s="5">
        <v>0.67</v>
      </c>
      <c r="E12" s="5">
        <v>0</v>
      </c>
      <c r="F12" s="9">
        <v>0.83750000000000002</v>
      </c>
      <c r="G12" s="5">
        <v>0</v>
      </c>
      <c r="H12" s="5">
        <v>0.13</v>
      </c>
      <c r="I12" s="5">
        <v>0</v>
      </c>
    </row>
    <row r="13" spans="1:9" ht="15" thickBot="1" x14ac:dyDescent="0.25">
      <c r="A13" s="8" t="s">
        <v>17</v>
      </c>
      <c r="B13" s="4">
        <v>0</v>
      </c>
      <c r="C13" s="4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</row>
    <row r="14" spans="1:9" x14ac:dyDescent="0.2">
      <c r="A14" s="41" t="s">
        <v>18</v>
      </c>
      <c r="B14" s="44">
        <v>5.4</v>
      </c>
      <c r="C14" s="47">
        <v>0</v>
      </c>
      <c r="D14" s="38">
        <v>0</v>
      </c>
      <c r="E14" s="38">
        <v>0</v>
      </c>
      <c r="F14" s="38">
        <v>0</v>
      </c>
      <c r="G14" s="38">
        <v>0</v>
      </c>
      <c r="H14" s="38">
        <v>5.4</v>
      </c>
      <c r="I14" s="38">
        <v>0</v>
      </c>
    </row>
    <row r="15" spans="1:9" x14ac:dyDescent="0.2">
      <c r="A15" s="42"/>
      <c r="B15" s="45"/>
      <c r="C15" s="48"/>
      <c r="D15" s="39"/>
      <c r="E15" s="39"/>
      <c r="F15" s="39"/>
      <c r="G15" s="39"/>
      <c r="H15" s="39"/>
      <c r="I15" s="39"/>
    </row>
    <row r="16" spans="1:9" x14ac:dyDescent="0.2">
      <c r="A16" s="42"/>
      <c r="B16" s="45"/>
      <c r="C16" s="48"/>
      <c r="D16" s="39"/>
      <c r="E16" s="39"/>
      <c r="F16" s="39"/>
      <c r="G16" s="39"/>
      <c r="H16" s="39"/>
      <c r="I16" s="39"/>
    </row>
    <row r="17" spans="1:9" x14ac:dyDescent="0.2">
      <c r="A17" s="42"/>
      <c r="B17" s="45"/>
      <c r="C17" s="48"/>
      <c r="D17" s="39"/>
      <c r="E17" s="39"/>
      <c r="F17" s="39"/>
      <c r="G17" s="39"/>
      <c r="H17" s="39"/>
      <c r="I17" s="39"/>
    </row>
    <row r="18" spans="1:9" x14ac:dyDescent="0.2">
      <c r="A18" s="42"/>
      <c r="B18" s="45"/>
      <c r="C18" s="48"/>
      <c r="D18" s="39"/>
      <c r="E18" s="39"/>
      <c r="F18" s="39"/>
      <c r="G18" s="39"/>
      <c r="H18" s="39"/>
      <c r="I18" s="39"/>
    </row>
    <row r="19" spans="1:9" x14ac:dyDescent="0.2">
      <c r="A19" s="42"/>
      <c r="B19" s="45"/>
      <c r="C19" s="48"/>
      <c r="D19" s="39"/>
      <c r="E19" s="39"/>
      <c r="F19" s="39"/>
      <c r="G19" s="39"/>
      <c r="H19" s="39"/>
      <c r="I19" s="39"/>
    </row>
    <row r="20" spans="1:9" x14ac:dyDescent="0.2">
      <c r="A20" s="42"/>
      <c r="B20" s="45"/>
      <c r="C20" s="48"/>
      <c r="D20" s="39"/>
      <c r="E20" s="39"/>
      <c r="F20" s="39"/>
      <c r="G20" s="39"/>
      <c r="H20" s="39"/>
      <c r="I20" s="39"/>
    </row>
    <row r="21" spans="1:9" x14ac:dyDescent="0.2">
      <c r="A21" s="42"/>
      <c r="B21" s="45"/>
      <c r="C21" s="48"/>
      <c r="D21" s="39"/>
      <c r="E21" s="39"/>
      <c r="F21" s="39"/>
      <c r="G21" s="39"/>
      <c r="H21" s="39"/>
      <c r="I21" s="39"/>
    </row>
    <row r="22" spans="1:9" x14ac:dyDescent="0.2">
      <c r="A22" s="42"/>
      <c r="B22" s="45"/>
      <c r="C22" s="48"/>
      <c r="D22" s="39"/>
      <c r="E22" s="39"/>
      <c r="F22" s="39"/>
      <c r="G22" s="39"/>
      <c r="H22" s="39"/>
      <c r="I22" s="39"/>
    </row>
    <row r="23" spans="1:9" x14ac:dyDescent="0.2">
      <c r="A23" s="42"/>
      <c r="B23" s="45"/>
      <c r="C23" s="48"/>
      <c r="D23" s="39"/>
      <c r="E23" s="39"/>
      <c r="F23" s="39"/>
      <c r="G23" s="39"/>
      <c r="H23" s="39"/>
      <c r="I23" s="39"/>
    </row>
    <row r="24" spans="1:9" ht="15" thickBot="1" x14ac:dyDescent="0.25">
      <c r="A24" s="43"/>
      <c r="B24" s="46"/>
      <c r="C24" s="49"/>
      <c r="D24" s="40"/>
      <c r="E24" s="40"/>
      <c r="F24" s="40"/>
      <c r="G24" s="40"/>
      <c r="H24" s="40"/>
      <c r="I24" s="40"/>
    </row>
    <row r="25" spans="1:9" ht="25.5" thickBot="1" x14ac:dyDescent="0.25">
      <c r="A25" s="8" t="s">
        <v>19</v>
      </c>
      <c r="B25" s="4">
        <v>3.4</v>
      </c>
      <c r="C25" s="4">
        <v>0</v>
      </c>
      <c r="D25" s="5">
        <v>3.71</v>
      </c>
      <c r="E25" s="5">
        <v>0</v>
      </c>
      <c r="F25" s="9">
        <v>1.0911999999999999</v>
      </c>
      <c r="G25" s="5">
        <v>0</v>
      </c>
      <c r="H25" s="5">
        <v>-0.31</v>
      </c>
      <c r="I25" s="5">
        <v>0</v>
      </c>
    </row>
    <row r="26" spans="1:9" ht="15" thickBot="1" x14ac:dyDescent="0.25">
      <c r="A26" s="8" t="s">
        <v>20</v>
      </c>
      <c r="B26" s="4">
        <v>6</v>
      </c>
      <c r="C26" s="4">
        <v>0</v>
      </c>
      <c r="D26" s="5">
        <v>2.94</v>
      </c>
      <c r="E26" s="5">
        <v>0</v>
      </c>
      <c r="F26" s="9">
        <v>0.49</v>
      </c>
      <c r="G26" s="5">
        <v>0</v>
      </c>
      <c r="H26" s="5">
        <v>3.06</v>
      </c>
      <c r="I26" s="5">
        <v>0</v>
      </c>
    </row>
    <row r="27" spans="1:9" ht="15" thickBot="1" x14ac:dyDescent="0.25">
      <c r="A27" s="8" t="s">
        <v>21</v>
      </c>
      <c r="B27" s="4">
        <v>1</v>
      </c>
      <c r="C27" s="4">
        <v>0</v>
      </c>
      <c r="D27" s="5">
        <v>0</v>
      </c>
      <c r="E27" s="5">
        <v>0</v>
      </c>
      <c r="F27" s="5">
        <v>0</v>
      </c>
      <c r="G27" s="5">
        <v>0</v>
      </c>
      <c r="H27" s="5">
        <v>1</v>
      </c>
      <c r="I27" s="5">
        <v>0</v>
      </c>
    </row>
    <row r="28" spans="1:9" ht="15" thickBot="1" x14ac:dyDescent="0.25">
      <c r="A28" s="8" t="s">
        <v>22</v>
      </c>
      <c r="B28" s="4">
        <v>0</v>
      </c>
      <c r="C28" s="4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</row>
    <row r="29" spans="1:9" ht="15" thickBot="1" x14ac:dyDescent="0.25">
      <c r="A29" s="8" t="s">
        <v>23</v>
      </c>
      <c r="B29" s="4">
        <v>0</v>
      </c>
      <c r="C29" s="4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</row>
    <row r="30" spans="1:9" ht="15" thickBot="1" x14ac:dyDescent="0.25">
      <c r="A30" s="8" t="s">
        <v>24</v>
      </c>
      <c r="B30" s="4">
        <v>0</v>
      </c>
      <c r="C30" s="4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</row>
  </sheetData>
  <mergeCells count="14">
    <mergeCell ref="F1:G1"/>
    <mergeCell ref="H1:I1"/>
    <mergeCell ref="A14:A24"/>
    <mergeCell ref="B14:B24"/>
    <mergeCell ref="C14:C24"/>
    <mergeCell ref="D14:D24"/>
    <mergeCell ref="E14:E24"/>
    <mergeCell ref="F14:F24"/>
    <mergeCell ref="G14:G24"/>
    <mergeCell ref="H14:H24"/>
    <mergeCell ref="I14:I24"/>
    <mergeCell ref="A1:A2"/>
    <mergeCell ref="B1:C1"/>
    <mergeCell ref="D1:E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8537-E761-4801-BE8D-A9B06222BA9E}">
  <dimension ref="A1:I30"/>
  <sheetViews>
    <sheetView zoomScaleNormal="100" workbookViewId="0">
      <selection activeCell="E31" sqref="E31"/>
    </sheetView>
  </sheetViews>
  <sheetFormatPr defaultRowHeight="14.25" x14ac:dyDescent="0.2"/>
  <cols>
    <col min="1" max="1" width="25.25" bestFit="1" customWidth="1"/>
    <col min="2" max="3" width="8.5" bestFit="1" customWidth="1"/>
    <col min="5" max="7" width="8.5" bestFit="1" customWidth="1"/>
    <col min="9" max="9" width="8.5" bestFit="1" customWidth="1"/>
  </cols>
  <sheetData>
    <row r="1" spans="1:9" ht="15" thickBot="1" x14ac:dyDescent="0.25">
      <c r="A1" s="50" t="s">
        <v>0</v>
      </c>
      <c r="B1" s="52" t="s">
        <v>1</v>
      </c>
      <c r="C1" s="53"/>
      <c r="D1" s="54" t="s">
        <v>2</v>
      </c>
      <c r="E1" s="53"/>
      <c r="F1" s="54" t="s">
        <v>3</v>
      </c>
      <c r="G1" s="53"/>
      <c r="H1" s="54" t="s">
        <v>4</v>
      </c>
      <c r="I1" s="53"/>
    </row>
    <row r="2" spans="1:9" ht="24.75" thickBot="1" x14ac:dyDescent="0.25">
      <c r="A2" s="51"/>
      <c r="B2" s="1" t="s">
        <v>5</v>
      </c>
      <c r="C2" s="1" t="s">
        <v>6</v>
      </c>
      <c r="D2" s="1" t="s">
        <v>5</v>
      </c>
      <c r="E2" s="1" t="s">
        <v>6</v>
      </c>
      <c r="F2" s="2" t="s">
        <v>5</v>
      </c>
      <c r="G2" s="2" t="s">
        <v>6</v>
      </c>
      <c r="H2" s="2" t="s">
        <v>5</v>
      </c>
      <c r="I2" s="2" t="s">
        <v>6</v>
      </c>
    </row>
    <row r="3" spans="1:9" ht="15" thickBot="1" x14ac:dyDescent="0.25">
      <c r="A3" s="3" t="s">
        <v>7</v>
      </c>
      <c r="B3" s="4">
        <f>B4+B29</f>
        <v>80</v>
      </c>
      <c r="C3" s="4">
        <f>C4+C29</f>
        <v>160</v>
      </c>
      <c r="D3" s="5">
        <f>D4+D29</f>
        <v>22.510030999999998</v>
      </c>
      <c r="E3" s="5">
        <v>0</v>
      </c>
      <c r="F3" s="6">
        <f>D3/B3</f>
        <v>0.28137538749999996</v>
      </c>
      <c r="G3" s="7">
        <v>0</v>
      </c>
      <c r="H3" s="7">
        <f>B3-D3</f>
        <v>57.489969000000002</v>
      </c>
      <c r="I3" s="7">
        <f>C3-E3</f>
        <v>160</v>
      </c>
    </row>
    <row r="4" spans="1:9" ht="15" thickBot="1" x14ac:dyDescent="0.25">
      <c r="A4" s="8" t="s">
        <v>8</v>
      </c>
      <c r="B4" s="4">
        <v>63.7</v>
      </c>
      <c r="C4" s="4">
        <v>160</v>
      </c>
      <c r="D4" s="5">
        <f>D5+D11+D12+D13+D14+D25+D26+D27+D28</f>
        <v>17.411683</v>
      </c>
      <c r="E4" s="5">
        <v>0</v>
      </c>
      <c r="F4" s="6">
        <f t="shared" ref="F4:F13" si="0">D4/B4</f>
        <v>0.27333882260596543</v>
      </c>
      <c r="G4" s="5">
        <v>0</v>
      </c>
      <c r="H4" s="7">
        <f t="shared" ref="H4:H13" si="1">B4-D4</f>
        <v>46.288317000000006</v>
      </c>
      <c r="I4" s="7">
        <f t="shared" ref="I4:I13" si="2">C4-E4</f>
        <v>160</v>
      </c>
    </row>
    <row r="5" spans="1:9" ht="15" thickBot="1" x14ac:dyDescent="0.25">
      <c r="A5" s="8" t="s">
        <v>9</v>
      </c>
      <c r="B5" s="4">
        <v>7</v>
      </c>
      <c r="C5" s="4">
        <v>10</v>
      </c>
      <c r="D5" s="5">
        <v>0</v>
      </c>
      <c r="E5" s="5">
        <v>0</v>
      </c>
      <c r="F5" s="6">
        <f t="shared" si="0"/>
        <v>0</v>
      </c>
      <c r="G5" s="5">
        <v>0</v>
      </c>
      <c r="H5" s="7">
        <f t="shared" si="1"/>
        <v>7</v>
      </c>
      <c r="I5" s="7">
        <f t="shared" si="2"/>
        <v>10</v>
      </c>
    </row>
    <row r="6" spans="1:9" ht="15" thickBot="1" x14ac:dyDescent="0.25">
      <c r="A6" s="10" t="s">
        <v>10</v>
      </c>
      <c r="B6" s="4">
        <v>7</v>
      </c>
      <c r="C6" s="4">
        <v>10</v>
      </c>
      <c r="D6" s="5">
        <v>0</v>
      </c>
      <c r="E6" s="5">
        <v>0</v>
      </c>
      <c r="F6" s="6">
        <f t="shared" si="0"/>
        <v>0</v>
      </c>
      <c r="G6" s="5">
        <v>0</v>
      </c>
      <c r="H6" s="7">
        <f t="shared" si="1"/>
        <v>7</v>
      </c>
      <c r="I6" s="7">
        <f t="shared" si="2"/>
        <v>10</v>
      </c>
    </row>
    <row r="7" spans="1:9" ht="15" thickBot="1" x14ac:dyDescent="0.25">
      <c r="A7" s="10" t="s">
        <v>11</v>
      </c>
      <c r="B7" s="4">
        <v>0</v>
      </c>
      <c r="C7" s="4">
        <v>0</v>
      </c>
      <c r="D7" s="5">
        <v>0</v>
      </c>
      <c r="E7" s="5">
        <v>0</v>
      </c>
      <c r="F7" s="6" t="e">
        <f t="shared" si="0"/>
        <v>#DIV/0!</v>
      </c>
      <c r="G7" s="5">
        <v>0</v>
      </c>
      <c r="H7" s="7">
        <f t="shared" si="1"/>
        <v>0</v>
      </c>
      <c r="I7" s="7">
        <f t="shared" si="2"/>
        <v>0</v>
      </c>
    </row>
    <row r="8" spans="1:9" ht="15" thickBot="1" x14ac:dyDescent="0.25">
      <c r="A8" s="10" t="s">
        <v>12</v>
      </c>
      <c r="B8" s="4">
        <v>0</v>
      </c>
      <c r="C8" s="4">
        <v>0</v>
      </c>
      <c r="D8" s="5">
        <v>0</v>
      </c>
      <c r="E8" s="5">
        <v>0</v>
      </c>
      <c r="F8" s="6" t="e">
        <f t="shared" si="0"/>
        <v>#DIV/0!</v>
      </c>
      <c r="G8" s="5">
        <v>0</v>
      </c>
      <c r="H8" s="7">
        <f t="shared" si="1"/>
        <v>0</v>
      </c>
      <c r="I8" s="7">
        <f t="shared" si="2"/>
        <v>0</v>
      </c>
    </row>
    <row r="9" spans="1:9" ht="15" thickBot="1" x14ac:dyDescent="0.25">
      <c r="A9" s="10" t="s">
        <v>13</v>
      </c>
      <c r="B9" s="4">
        <v>0</v>
      </c>
      <c r="C9" s="4">
        <v>0</v>
      </c>
      <c r="D9" s="5">
        <v>0</v>
      </c>
      <c r="E9" s="5">
        <v>0</v>
      </c>
      <c r="F9" s="6" t="e">
        <f t="shared" si="0"/>
        <v>#DIV/0!</v>
      </c>
      <c r="G9" s="5">
        <v>0</v>
      </c>
      <c r="H9" s="7">
        <f t="shared" si="1"/>
        <v>0</v>
      </c>
      <c r="I9" s="7">
        <f t="shared" si="2"/>
        <v>0</v>
      </c>
    </row>
    <row r="10" spans="1:9" ht="15" thickBot="1" x14ac:dyDescent="0.25">
      <c r="A10" s="10" t="s">
        <v>14</v>
      </c>
      <c r="B10" s="4">
        <v>0</v>
      </c>
      <c r="C10" s="4">
        <v>0</v>
      </c>
      <c r="D10" s="5">
        <v>0</v>
      </c>
      <c r="E10" s="5">
        <v>0</v>
      </c>
      <c r="F10" s="6" t="e">
        <f t="shared" si="0"/>
        <v>#DIV/0!</v>
      </c>
      <c r="G10" s="5">
        <v>0</v>
      </c>
      <c r="H10" s="7">
        <f t="shared" si="1"/>
        <v>0</v>
      </c>
      <c r="I10" s="7">
        <f t="shared" si="2"/>
        <v>0</v>
      </c>
    </row>
    <row r="11" spans="1:9" ht="15" thickBot="1" x14ac:dyDescent="0.25">
      <c r="A11" s="8" t="s">
        <v>15</v>
      </c>
      <c r="B11" s="4">
        <v>21</v>
      </c>
      <c r="C11" s="4">
        <v>96</v>
      </c>
      <c r="D11" s="5">
        <v>9.5514299999999999</v>
      </c>
      <c r="E11" s="5">
        <v>0</v>
      </c>
      <c r="F11" s="6">
        <f t="shared" si="0"/>
        <v>0.45483000000000001</v>
      </c>
      <c r="G11" s="5">
        <v>0</v>
      </c>
      <c r="H11" s="7">
        <f t="shared" si="1"/>
        <v>11.44857</v>
      </c>
      <c r="I11" s="7">
        <f t="shared" si="2"/>
        <v>96</v>
      </c>
    </row>
    <row r="12" spans="1:9" ht="15" thickBot="1" x14ac:dyDescent="0.25">
      <c r="A12" s="8" t="s">
        <v>16</v>
      </c>
      <c r="B12" s="4">
        <v>5</v>
      </c>
      <c r="C12" s="4">
        <v>0</v>
      </c>
      <c r="D12" s="5">
        <v>4.9332000000000003</v>
      </c>
      <c r="E12" s="5">
        <v>0</v>
      </c>
      <c r="F12" s="6">
        <f t="shared" si="0"/>
        <v>0.98664000000000007</v>
      </c>
      <c r="G12" s="5">
        <v>0</v>
      </c>
      <c r="H12" s="7">
        <f t="shared" si="1"/>
        <v>6.6799999999999748E-2</v>
      </c>
      <c r="I12" s="7">
        <f t="shared" si="2"/>
        <v>0</v>
      </c>
    </row>
    <row r="13" spans="1:9" ht="15" thickBot="1" x14ac:dyDescent="0.25">
      <c r="A13" s="8" t="s">
        <v>17</v>
      </c>
      <c r="B13" s="4">
        <v>0</v>
      </c>
      <c r="C13" s="4">
        <v>0</v>
      </c>
      <c r="D13" s="5">
        <v>0</v>
      </c>
      <c r="E13" s="5">
        <v>0</v>
      </c>
      <c r="F13" s="6" t="e">
        <f t="shared" si="0"/>
        <v>#DIV/0!</v>
      </c>
      <c r="G13" s="5">
        <v>0</v>
      </c>
      <c r="H13" s="7">
        <f t="shared" si="1"/>
        <v>0</v>
      </c>
      <c r="I13" s="7">
        <f t="shared" si="2"/>
        <v>0</v>
      </c>
    </row>
    <row r="14" spans="1:9" x14ac:dyDescent="0.2">
      <c r="A14" s="41" t="s">
        <v>18</v>
      </c>
      <c r="B14" s="44">
        <v>8.1</v>
      </c>
      <c r="C14" s="47">
        <v>6</v>
      </c>
      <c r="D14" s="38">
        <v>0.30955300000000002</v>
      </c>
      <c r="E14" s="38">
        <v>0</v>
      </c>
      <c r="F14" s="35">
        <f>D14/B14</f>
        <v>3.8216419753086421E-2</v>
      </c>
      <c r="G14" s="38">
        <v>0</v>
      </c>
      <c r="H14" s="38">
        <f>B14-D14</f>
        <v>7.7904469999999995</v>
      </c>
      <c r="I14" s="38">
        <f>C14-E14</f>
        <v>6</v>
      </c>
    </row>
    <row r="15" spans="1:9" x14ac:dyDescent="0.2">
      <c r="A15" s="42"/>
      <c r="B15" s="45"/>
      <c r="C15" s="48"/>
      <c r="D15" s="39"/>
      <c r="E15" s="39"/>
      <c r="F15" s="36"/>
      <c r="G15" s="39"/>
      <c r="H15" s="39"/>
      <c r="I15" s="39"/>
    </row>
    <row r="16" spans="1:9" x14ac:dyDescent="0.2">
      <c r="A16" s="42"/>
      <c r="B16" s="45"/>
      <c r="C16" s="48"/>
      <c r="D16" s="39"/>
      <c r="E16" s="39"/>
      <c r="F16" s="36"/>
      <c r="G16" s="39"/>
      <c r="H16" s="39"/>
      <c r="I16" s="39"/>
    </row>
    <row r="17" spans="1:9" x14ac:dyDescent="0.2">
      <c r="A17" s="42"/>
      <c r="B17" s="45"/>
      <c r="C17" s="48"/>
      <c r="D17" s="39"/>
      <c r="E17" s="39"/>
      <c r="F17" s="36"/>
      <c r="G17" s="39"/>
      <c r="H17" s="39"/>
      <c r="I17" s="39"/>
    </row>
    <row r="18" spans="1:9" x14ac:dyDescent="0.2">
      <c r="A18" s="42"/>
      <c r="B18" s="45"/>
      <c r="C18" s="48"/>
      <c r="D18" s="39"/>
      <c r="E18" s="39"/>
      <c r="F18" s="36"/>
      <c r="G18" s="39"/>
      <c r="H18" s="39"/>
      <c r="I18" s="39"/>
    </row>
    <row r="19" spans="1:9" x14ac:dyDescent="0.2">
      <c r="A19" s="42"/>
      <c r="B19" s="45"/>
      <c r="C19" s="48"/>
      <c r="D19" s="39"/>
      <c r="E19" s="39"/>
      <c r="F19" s="36"/>
      <c r="G19" s="39"/>
      <c r="H19" s="39"/>
      <c r="I19" s="39"/>
    </row>
    <row r="20" spans="1:9" x14ac:dyDescent="0.2">
      <c r="A20" s="42"/>
      <c r="B20" s="45"/>
      <c r="C20" s="48"/>
      <c r="D20" s="39"/>
      <c r="E20" s="39"/>
      <c r="F20" s="36"/>
      <c r="G20" s="39"/>
      <c r="H20" s="39"/>
      <c r="I20" s="39"/>
    </row>
    <row r="21" spans="1:9" x14ac:dyDescent="0.2">
      <c r="A21" s="42"/>
      <c r="B21" s="45"/>
      <c r="C21" s="48"/>
      <c r="D21" s="39"/>
      <c r="E21" s="39"/>
      <c r="F21" s="36"/>
      <c r="G21" s="39"/>
      <c r="H21" s="39"/>
      <c r="I21" s="39"/>
    </row>
    <row r="22" spans="1:9" x14ac:dyDescent="0.2">
      <c r="A22" s="42"/>
      <c r="B22" s="45"/>
      <c r="C22" s="48"/>
      <c r="D22" s="39"/>
      <c r="E22" s="39"/>
      <c r="F22" s="36"/>
      <c r="G22" s="39"/>
      <c r="H22" s="39"/>
      <c r="I22" s="39"/>
    </row>
    <row r="23" spans="1:9" x14ac:dyDescent="0.2">
      <c r="A23" s="42"/>
      <c r="B23" s="45"/>
      <c r="C23" s="48"/>
      <c r="D23" s="39"/>
      <c r="E23" s="39"/>
      <c r="F23" s="36"/>
      <c r="G23" s="39"/>
      <c r="H23" s="39"/>
      <c r="I23" s="39"/>
    </row>
    <row r="24" spans="1:9" ht="15" thickBot="1" x14ac:dyDescent="0.25">
      <c r="A24" s="43"/>
      <c r="B24" s="46"/>
      <c r="C24" s="49"/>
      <c r="D24" s="40"/>
      <c r="E24" s="40"/>
      <c r="F24" s="37"/>
      <c r="G24" s="40"/>
      <c r="H24" s="40"/>
      <c r="I24" s="40"/>
    </row>
    <row r="25" spans="1:9" ht="25.5" thickBot="1" x14ac:dyDescent="0.25">
      <c r="A25" s="8" t="s">
        <v>19</v>
      </c>
      <c r="B25" s="4">
        <v>4.5999999999999996</v>
      </c>
      <c r="C25" s="4">
        <v>10</v>
      </c>
      <c r="D25" s="5">
        <v>0</v>
      </c>
      <c r="E25" s="5">
        <v>0</v>
      </c>
      <c r="F25" s="5">
        <f>D25/B25</f>
        <v>0</v>
      </c>
      <c r="G25" s="5">
        <v>0</v>
      </c>
      <c r="H25" s="5">
        <f>B25-D25</f>
        <v>4.5999999999999996</v>
      </c>
      <c r="I25" s="5">
        <f>C25-E25</f>
        <v>10</v>
      </c>
    </row>
    <row r="26" spans="1:9" ht="15" thickBot="1" x14ac:dyDescent="0.25">
      <c r="A26" s="8" t="s">
        <v>20</v>
      </c>
      <c r="B26" s="4">
        <v>14</v>
      </c>
      <c r="C26" s="4">
        <v>38</v>
      </c>
      <c r="D26" s="5">
        <v>2.6175000000000002</v>
      </c>
      <c r="E26" s="5">
        <v>0</v>
      </c>
      <c r="F26" s="9">
        <f>D26/B26</f>
        <v>0.18696428571428572</v>
      </c>
      <c r="G26" s="5">
        <v>0</v>
      </c>
      <c r="H26" s="5">
        <f t="shared" ref="H26:H30" si="3">B26-D26</f>
        <v>11.3825</v>
      </c>
      <c r="I26" s="5">
        <f t="shared" ref="I26:I30" si="4">C26-E26</f>
        <v>38</v>
      </c>
    </row>
    <row r="27" spans="1:9" ht="15" thickBot="1" x14ac:dyDescent="0.25">
      <c r="A27" s="8" t="s">
        <v>21</v>
      </c>
      <c r="B27" s="4">
        <v>4</v>
      </c>
      <c r="C27" s="4">
        <v>0</v>
      </c>
      <c r="D27" s="5">
        <v>0</v>
      </c>
      <c r="E27" s="5">
        <v>0</v>
      </c>
      <c r="F27" s="9">
        <f t="shared" ref="F27:F28" si="5">D27/B27</f>
        <v>0</v>
      </c>
      <c r="G27" s="5">
        <v>0</v>
      </c>
      <c r="H27" s="5">
        <f t="shared" si="3"/>
        <v>4</v>
      </c>
      <c r="I27" s="5">
        <f t="shared" si="4"/>
        <v>0</v>
      </c>
    </row>
    <row r="28" spans="1:9" ht="15" thickBot="1" x14ac:dyDescent="0.25">
      <c r="A28" s="8" t="s">
        <v>22</v>
      </c>
      <c r="B28" s="4">
        <v>0</v>
      </c>
      <c r="C28" s="4">
        <v>0</v>
      </c>
      <c r="D28" s="5">
        <v>0</v>
      </c>
      <c r="E28" s="5">
        <v>0</v>
      </c>
      <c r="F28" s="9" t="e">
        <f t="shared" si="5"/>
        <v>#DIV/0!</v>
      </c>
      <c r="G28" s="5">
        <v>0</v>
      </c>
      <c r="H28" s="5">
        <f t="shared" si="3"/>
        <v>0</v>
      </c>
      <c r="I28" s="5">
        <f t="shared" si="4"/>
        <v>0</v>
      </c>
    </row>
    <row r="29" spans="1:9" ht="15" thickBot="1" x14ac:dyDescent="0.25">
      <c r="A29" s="8" t="s">
        <v>23</v>
      </c>
      <c r="B29" s="4">
        <v>16.3</v>
      </c>
      <c r="C29" s="4">
        <v>0</v>
      </c>
      <c r="D29" s="5">
        <v>5.0983479999999997</v>
      </c>
      <c r="E29" s="5">
        <v>0</v>
      </c>
      <c r="F29" s="9">
        <f>D29/B29</f>
        <v>0.31278208588957052</v>
      </c>
      <c r="G29" s="5">
        <v>0</v>
      </c>
      <c r="H29" s="5">
        <f t="shared" si="3"/>
        <v>11.201652000000001</v>
      </c>
      <c r="I29" s="5">
        <f t="shared" si="4"/>
        <v>0</v>
      </c>
    </row>
    <row r="30" spans="1:9" ht="15" thickBot="1" x14ac:dyDescent="0.25">
      <c r="A30" s="8" t="s">
        <v>24</v>
      </c>
      <c r="B30" s="4">
        <v>0</v>
      </c>
      <c r="C30" s="4">
        <v>0</v>
      </c>
      <c r="D30" s="5">
        <v>0</v>
      </c>
      <c r="E30" s="5">
        <v>0</v>
      </c>
      <c r="F30" s="9" t="e">
        <f>D30/B30</f>
        <v>#DIV/0!</v>
      </c>
      <c r="G30" s="5">
        <v>0</v>
      </c>
      <c r="H30" s="5">
        <f t="shared" si="3"/>
        <v>0</v>
      </c>
      <c r="I30" s="5">
        <f t="shared" si="4"/>
        <v>0</v>
      </c>
    </row>
  </sheetData>
  <mergeCells count="14">
    <mergeCell ref="F1:G1"/>
    <mergeCell ref="H1:I1"/>
    <mergeCell ref="A1:A2"/>
    <mergeCell ref="B1:C1"/>
    <mergeCell ref="A14:A24"/>
    <mergeCell ref="B14:B24"/>
    <mergeCell ref="C14:C24"/>
    <mergeCell ref="D14:D24"/>
    <mergeCell ref="D1:E1"/>
    <mergeCell ref="E14:E24"/>
    <mergeCell ref="F14:F24"/>
    <mergeCell ref="G14:G24"/>
    <mergeCell ref="H14:H24"/>
    <mergeCell ref="I14:I2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5BAE-4038-4E09-82C4-E93CB0D41725}">
  <dimension ref="A1:L57"/>
  <sheetViews>
    <sheetView tabSelected="1" zoomScaleNormal="100" workbookViewId="0">
      <selection activeCell="N22" sqref="N22"/>
    </sheetView>
  </sheetViews>
  <sheetFormatPr defaultRowHeight="14.25" x14ac:dyDescent="0.2"/>
  <cols>
    <col min="1" max="1" width="25.75" bestFit="1" customWidth="1"/>
    <col min="2" max="3" width="9" bestFit="1" customWidth="1"/>
    <col min="4" max="5" width="12.25" bestFit="1" customWidth="1"/>
    <col min="6" max="6" width="9" bestFit="1" customWidth="1"/>
    <col min="7" max="7" width="8.5" bestFit="1" customWidth="1"/>
    <col min="8" max="9" width="9.875" bestFit="1" customWidth="1"/>
    <col min="10" max="10" width="10.5" bestFit="1" customWidth="1"/>
  </cols>
  <sheetData>
    <row r="1" spans="1:10" ht="15" thickBot="1" x14ac:dyDescent="0.25">
      <c r="A1" s="50" t="s">
        <v>0</v>
      </c>
      <c r="B1" s="52" t="s">
        <v>1</v>
      </c>
      <c r="C1" s="53"/>
      <c r="D1" s="54" t="s">
        <v>2</v>
      </c>
      <c r="E1" s="53"/>
      <c r="F1" s="54" t="s">
        <v>3</v>
      </c>
      <c r="G1" s="53"/>
      <c r="H1" s="54" t="s">
        <v>4</v>
      </c>
      <c r="I1" s="53"/>
    </row>
    <row r="2" spans="1:10" ht="24.75" thickBot="1" x14ac:dyDescent="0.25">
      <c r="A2" s="51"/>
      <c r="B2" s="1" t="s">
        <v>5</v>
      </c>
      <c r="C2" s="1" t="s">
        <v>6</v>
      </c>
      <c r="D2" s="1" t="s">
        <v>5</v>
      </c>
      <c r="E2" s="1" t="s">
        <v>6</v>
      </c>
      <c r="F2" s="2" t="s">
        <v>5</v>
      </c>
      <c r="G2" s="2" t="s">
        <v>6</v>
      </c>
      <c r="H2" s="2" t="s">
        <v>5</v>
      </c>
      <c r="I2" s="2" t="s">
        <v>6</v>
      </c>
    </row>
    <row r="3" spans="1:10" ht="15" thickBot="1" x14ac:dyDescent="0.25">
      <c r="A3" s="3" t="s">
        <v>7</v>
      </c>
      <c r="B3" s="4">
        <f>B4+B29</f>
        <v>208</v>
      </c>
      <c r="C3" s="4">
        <f>C4+C29</f>
        <v>336</v>
      </c>
      <c r="D3" s="4">
        <f>D4+D29</f>
        <v>87.11763599999999</v>
      </c>
      <c r="E3" s="4">
        <f>SUM(浙大:中北!E3)</f>
        <v>45.319164999999998</v>
      </c>
      <c r="F3" s="6">
        <f>D3/B3</f>
        <v>0.41883478846153843</v>
      </c>
      <c r="G3" s="6">
        <f>E3/C3</f>
        <v>0.13487846726190475</v>
      </c>
      <c r="H3" s="7">
        <f>B3-D3</f>
        <v>120.88236400000001</v>
      </c>
      <c r="I3" s="7">
        <f>C3-E3</f>
        <v>290.680835</v>
      </c>
      <c r="J3">
        <f>SUM(浙大:中北!D3)</f>
        <v>87.11763599999999</v>
      </c>
    </row>
    <row r="4" spans="1:10" ht="15" thickBot="1" x14ac:dyDescent="0.25">
      <c r="A4" s="8" t="s">
        <v>8</v>
      </c>
      <c r="B4" s="4">
        <f>B5+B11+B12+B13+B14+B25+B26+B27+B28</f>
        <v>171.7</v>
      </c>
      <c r="C4" s="4">
        <f>C5+C11+C12+C13+C14+C25+C26+C27+C28</f>
        <v>336</v>
      </c>
      <c r="D4" s="4">
        <f>D5+D11+D12+D13+D14+D25+D26+D27+D28</f>
        <v>68.731287999999992</v>
      </c>
      <c r="E4" s="4">
        <f>SUM(浙大:中北!E4)</f>
        <v>45.319164999999998</v>
      </c>
      <c r="F4" s="6">
        <f t="shared" ref="F4:F13" si="0">D4/B4</f>
        <v>0.4002987070471753</v>
      </c>
      <c r="G4" s="6">
        <f t="shared" ref="G4:G13" si="1">E4/C4</f>
        <v>0.13487846726190475</v>
      </c>
      <c r="H4" s="7">
        <f t="shared" ref="H4:H13" si="2">B4-D4</f>
        <v>102.968712</v>
      </c>
      <c r="I4" s="7">
        <f t="shared" ref="I4:I13" si="3">C4-E4</f>
        <v>290.680835</v>
      </c>
      <c r="J4">
        <f>SUM(浙大:中北!D4)</f>
        <v>68.731287999999992</v>
      </c>
    </row>
    <row r="5" spans="1:10" ht="15" thickBot="1" x14ac:dyDescent="0.25">
      <c r="A5" s="8" t="s">
        <v>9</v>
      </c>
      <c r="B5" s="4">
        <v>7</v>
      </c>
      <c r="C5" s="4">
        <v>10</v>
      </c>
      <c r="D5" s="4">
        <f>SUM(浙大:中北!D5)</f>
        <v>0</v>
      </c>
      <c r="E5" s="4">
        <f>SUM(浙大:中北!E5)</f>
        <v>0</v>
      </c>
      <c r="F5" s="6">
        <f t="shared" si="0"/>
        <v>0</v>
      </c>
      <c r="G5" s="6">
        <f t="shared" si="1"/>
        <v>0</v>
      </c>
      <c r="H5" s="7">
        <f t="shared" si="2"/>
        <v>7</v>
      </c>
      <c r="I5" s="7">
        <f t="shared" si="3"/>
        <v>10</v>
      </c>
      <c r="J5">
        <f>SUM(浙大:中北!D5)</f>
        <v>0</v>
      </c>
    </row>
    <row r="6" spans="1:10" ht="15" thickBot="1" x14ac:dyDescent="0.25">
      <c r="A6" s="10" t="s">
        <v>10</v>
      </c>
      <c r="B6" s="4">
        <v>7</v>
      </c>
      <c r="C6" s="4">
        <v>10</v>
      </c>
      <c r="D6" s="4">
        <f>SUM(浙大:中北!D6)</f>
        <v>0</v>
      </c>
      <c r="E6" s="4">
        <f>SUM(浙大:中北!E6)</f>
        <v>0</v>
      </c>
      <c r="F6" s="6">
        <f t="shared" si="0"/>
        <v>0</v>
      </c>
      <c r="G6" s="6">
        <f t="shared" si="1"/>
        <v>0</v>
      </c>
      <c r="H6" s="7">
        <f t="shared" si="2"/>
        <v>7</v>
      </c>
      <c r="I6" s="7">
        <f t="shared" si="3"/>
        <v>10</v>
      </c>
      <c r="J6">
        <f>SUM(浙大:中北!D6)</f>
        <v>0</v>
      </c>
    </row>
    <row r="7" spans="1:10" ht="15" thickBot="1" x14ac:dyDescent="0.25">
      <c r="A7" s="10" t="s">
        <v>11</v>
      </c>
      <c r="B7" s="4">
        <v>0</v>
      </c>
      <c r="C7" s="4">
        <v>0</v>
      </c>
      <c r="D7" s="4">
        <f>SUM(浙大:中北!D7)</f>
        <v>0</v>
      </c>
      <c r="E7" s="4">
        <f>SUM(浙大:中北!E7)</f>
        <v>0</v>
      </c>
      <c r="F7" s="6" t="e">
        <f t="shared" si="0"/>
        <v>#DIV/0!</v>
      </c>
      <c r="G7" s="6" t="e">
        <f t="shared" si="1"/>
        <v>#DIV/0!</v>
      </c>
      <c r="H7" s="7">
        <f t="shared" si="2"/>
        <v>0</v>
      </c>
      <c r="I7" s="7">
        <f t="shared" si="3"/>
        <v>0</v>
      </c>
      <c r="J7">
        <f>SUM(浙大:中北!D7)</f>
        <v>0</v>
      </c>
    </row>
    <row r="8" spans="1:10" ht="15" thickBot="1" x14ac:dyDescent="0.25">
      <c r="A8" s="10" t="s">
        <v>12</v>
      </c>
      <c r="B8" s="4">
        <v>0</v>
      </c>
      <c r="C8" s="4">
        <v>0</v>
      </c>
      <c r="D8" s="4">
        <f>SUM(浙大:中北!D8)</f>
        <v>0</v>
      </c>
      <c r="E8" s="4">
        <f>SUM(浙大:中北!E8)</f>
        <v>0</v>
      </c>
      <c r="F8" s="6" t="e">
        <f t="shared" si="0"/>
        <v>#DIV/0!</v>
      </c>
      <c r="G8" s="6" t="e">
        <f t="shared" si="1"/>
        <v>#DIV/0!</v>
      </c>
      <c r="H8" s="7">
        <f t="shared" si="2"/>
        <v>0</v>
      </c>
      <c r="I8" s="7">
        <f t="shared" si="3"/>
        <v>0</v>
      </c>
      <c r="J8">
        <f>SUM(浙大:中北!D8)</f>
        <v>0</v>
      </c>
    </row>
    <row r="9" spans="1:10" ht="15" thickBot="1" x14ac:dyDescent="0.25">
      <c r="A9" s="10" t="s">
        <v>13</v>
      </c>
      <c r="B9" s="4">
        <v>0</v>
      </c>
      <c r="C9" s="4">
        <v>0</v>
      </c>
      <c r="D9" s="4">
        <f>SUM(浙大:中北!D9)</f>
        <v>0</v>
      </c>
      <c r="E9" s="4">
        <f>SUM(浙大:中北!E9)</f>
        <v>0</v>
      </c>
      <c r="F9" s="6" t="e">
        <f t="shared" si="0"/>
        <v>#DIV/0!</v>
      </c>
      <c r="G9" s="6" t="e">
        <f t="shared" si="1"/>
        <v>#DIV/0!</v>
      </c>
      <c r="H9" s="7">
        <f t="shared" si="2"/>
        <v>0</v>
      </c>
      <c r="I9" s="7">
        <f t="shared" si="3"/>
        <v>0</v>
      </c>
      <c r="J9">
        <f>SUM(浙大:中北!D9)</f>
        <v>0</v>
      </c>
    </row>
    <row r="10" spans="1:10" ht="15" thickBot="1" x14ac:dyDescent="0.25">
      <c r="A10" s="10" t="s">
        <v>14</v>
      </c>
      <c r="B10" s="4">
        <v>0</v>
      </c>
      <c r="C10" s="4">
        <v>0</v>
      </c>
      <c r="D10" s="4">
        <f>SUM(浙大:中北!D10)</f>
        <v>0</v>
      </c>
      <c r="E10" s="4">
        <f>SUM(浙大:中北!E10)</f>
        <v>0</v>
      </c>
      <c r="F10" s="6" t="e">
        <f t="shared" si="0"/>
        <v>#DIV/0!</v>
      </c>
      <c r="G10" s="6" t="e">
        <f t="shared" si="1"/>
        <v>#DIV/0!</v>
      </c>
      <c r="H10" s="7">
        <f t="shared" si="2"/>
        <v>0</v>
      </c>
      <c r="I10" s="7">
        <f t="shared" si="3"/>
        <v>0</v>
      </c>
      <c r="J10">
        <f>SUM(浙大:中北!D10)</f>
        <v>0</v>
      </c>
    </row>
    <row r="11" spans="1:10" ht="15" thickBot="1" x14ac:dyDescent="0.25">
      <c r="A11" s="8" t="s">
        <v>15</v>
      </c>
      <c r="B11" s="4">
        <f>SUM(浙大:中北!B11)</f>
        <v>68.2</v>
      </c>
      <c r="C11" s="4">
        <f>SUM(浙大:中北!C11)</f>
        <v>176</v>
      </c>
      <c r="D11" s="4">
        <f>SUM(浙大:中北!D11)</f>
        <v>22.225204999999999</v>
      </c>
      <c r="E11" s="4">
        <f>SUM(浙大:中北!E11)</f>
        <v>44.6</v>
      </c>
      <c r="F11" s="6">
        <f t="shared" si="0"/>
        <v>0.32588277126099702</v>
      </c>
      <c r="G11" s="6">
        <f t="shared" si="1"/>
        <v>0.25340909090909092</v>
      </c>
      <c r="H11" s="7">
        <f t="shared" si="2"/>
        <v>45.974795</v>
      </c>
      <c r="I11" s="7">
        <f t="shared" si="3"/>
        <v>131.4</v>
      </c>
      <c r="J11">
        <f>SUM(浙大:中北!D11)</f>
        <v>22.225204999999999</v>
      </c>
    </row>
    <row r="12" spans="1:10" ht="15" thickBot="1" x14ac:dyDescent="0.25">
      <c r="A12" s="8" t="s">
        <v>16</v>
      </c>
      <c r="B12" s="4">
        <f>SUM(浙大:中北!B12)</f>
        <v>19.8</v>
      </c>
      <c r="C12" s="4">
        <f>SUM(浙大:中北!C12)</f>
        <v>56</v>
      </c>
      <c r="D12" s="4">
        <f>SUM(浙大:中北!D12)</f>
        <v>5.6142000000000003</v>
      </c>
      <c r="E12" s="4">
        <f>SUM(浙大:中北!E12)</f>
        <v>0</v>
      </c>
      <c r="F12" s="6">
        <f t="shared" si="0"/>
        <v>0.28354545454545454</v>
      </c>
      <c r="G12" s="6">
        <f t="shared" si="1"/>
        <v>0</v>
      </c>
      <c r="H12" s="7">
        <f t="shared" si="2"/>
        <v>14.1858</v>
      </c>
      <c r="I12" s="7">
        <f t="shared" si="3"/>
        <v>56</v>
      </c>
      <c r="J12">
        <f>SUM(浙大:中北!D12)</f>
        <v>5.6142000000000003</v>
      </c>
    </row>
    <row r="13" spans="1:10" ht="15" thickBot="1" x14ac:dyDescent="0.25">
      <c r="A13" s="8" t="s">
        <v>17</v>
      </c>
      <c r="B13" s="4">
        <f>SUM(浙大:中北!B13)</f>
        <v>0</v>
      </c>
      <c r="C13" s="4">
        <f>SUM(浙大:中北!C13)</f>
        <v>0</v>
      </c>
      <c r="D13" s="4">
        <f>SUM(浙大:中北!D13)</f>
        <v>0</v>
      </c>
      <c r="E13" s="4">
        <f>SUM(浙大:中北!E13)</f>
        <v>0</v>
      </c>
      <c r="F13" s="6" t="e">
        <f t="shared" si="0"/>
        <v>#DIV/0!</v>
      </c>
      <c r="G13" s="6" t="e">
        <f t="shared" si="1"/>
        <v>#DIV/0!</v>
      </c>
      <c r="H13" s="7">
        <f t="shared" si="2"/>
        <v>0</v>
      </c>
      <c r="I13" s="7">
        <f t="shared" si="3"/>
        <v>0</v>
      </c>
      <c r="J13">
        <f>SUM(浙大:中北!D13)</f>
        <v>0</v>
      </c>
    </row>
    <row r="14" spans="1:10" x14ac:dyDescent="0.2">
      <c r="A14" s="41" t="s">
        <v>18</v>
      </c>
      <c r="B14" s="44">
        <f>SUM(浙大:中北!B14:B24)</f>
        <v>21.5</v>
      </c>
      <c r="C14" s="44">
        <f>SUM(浙大:中北!C14:C24)</f>
        <v>6</v>
      </c>
      <c r="D14" s="44">
        <f>SUM(浙大:中北!D14:D24)</f>
        <v>7.5623040000000001</v>
      </c>
      <c r="E14" s="44">
        <f>SUM(浙大:中北!E14:E24)</f>
        <v>0.71916500000000005</v>
      </c>
      <c r="F14" s="35">
        <f>D14/B14</f>
        <v>0.35173506976744184</v>
      </c>
      <c r="G14" s="35">
        <f>E14/C14</f>
        <v>0.11986083333333335</v>
      </c>
      <c r="H14" s="38">
        <f>B14-D14</f>
        <v>13.937695999999999</v>
      </c>
      <c r="I14" s="38">
        <f>C14-E14</f>
        <v>5.2808349999999997</v>
      </c>
      <c r="J14">
        <f>SUM(浙大:中北!D14)</f>
        <v>7.5623040000000001</v>
      </c>
    </row>
    <row r="15" spans="1:10" x14ac:dyDescent="0.2">
      <c r="A15" s="42"/>
      <c r="B15" s="45"/>
      <c r="C15" s="45"/>
      <c r="D15" s="45"/>
      <c r="E15" s="45"/>
      <c r="F15" s="36"/>
      <c r="G15" s="36"/>
      <c r="H15" s="39"/>
      <c r="I15" s="39"/>
      <c r="J15">
        <f>SUM(浙大:中北!D15)</f>
        <v>0</v>
      </c>
    </row>
    <row r="16" spans="1:10" x14ac:dyDescent="0.2">
      <c r="A16" s="42"/>
      <c r="B16" s="45"/>
      <c r="C16" s="45"/>
      <c r="D16" s="45"/>
      <c r="E16" s="45"/>
      <c r="F16" s="36"/>
      <c r="G16" s="36"/>
      <c r="H16" s="39"/>
      <c r="I16" s="39"/>
      <c r="J16">
        <f>SUM(浙大:中北!D16)</f>
        <v>0</v>
      </c>
    </row>
    <row r="17" spans="1:10" x14ac:dyDescent="0.2">
      <c r="A17" s="42"/>
      <c r="B17" s="45"/>
      <c r="C17" s="45"/>
      <c r="D17" s="45"/>
      <c r="E17" s="45"/>
      <c r="F17" s="36"/>
      <c r="G17" s="36"/>
      <c r="H17" s="39"/>
      <c r="I17" s="39"/>
      <c r="J17">
        <f>SUM(浙大:中北!D17)</f>
        <v>0</v>
      </c>
    </row>
    <row r="18" spans="1:10" x14ac:dyDescent="0.2">
      <c r="A18" s="42"/>
      <c r="B18" s="45"/>
      <c r="C18" s="45"/>
      <c r="D18" s="45"/>
      <c r="E18" s="45"/>
      <c r="F18" s="36"/>
      <c r="G18" s="36"/>
      <c r="H18" s="39"/>
      <c r="I18" s="39"/>
      <c r="J18">
        <f>SUM(浙大:中北!D18)</f>
        <v>0</v>
      </c>
    </row>
    <row r="19" spans="1:10" x14ac:dyDescent="0.2">
      <c r="A19" s="42"/>
      <c r="B19" s="45"/>
      <c r="C19" s="45"/>
      <c r="D19" s="45"/>
      <c r="E19" s="45"/>
      <c r="F19" s="36"/>
      <c r="G19" s="36"/>
      <c r="H19" s="39"/>
      <c r="I19" s="39"/>
      <c r="J19">
        <f>SUM(浙大:中北!D19)</f>
        <v>0</v>
      </c>
    </row>
    <row r="20" spans="1:10" x14ac:dyDescent="0.2">
      <c r="A20" s="42"/>
      <c r="B20" s="45"/>
      <c r="C20" s="45"/>
      <c r="D20" s="45"/>
      <c r="E20" s="45"/>
      <c r="F20" s="36"/>
      <c r="G20" s="36"/>
      <c r="H20" s="39"/>
      <c r="I20" s="39"/>
      <c r="J20">
        <f>SUM(浙大:中北!D20)</f>
        <v>0</v>
      </c>
    </row>
    <row r="21" spans="1:10" x14ac:dyDescent="0.2">
      <c r="A21" s="42"/>
      <c r="B21" s="45"/>
      <c r="C21" s="45"/>
      <c r="D21" s="45"/>
      <c r="E21" s="45"/>
      <c r="F21" s="36"/>
      <c r="G21" s="36"/>
      <c r="H21" s="39"/>
      <c r="I21" s="39"/>
      <c r="J21">
        <f>SUM(浙大:中北!D21)</f>
        <v>0</v>
      </c>
    </row>
    <row r="22" spans="1:10" x14ac:dyDescent="0.2">
      <c r="A22" s="42"/>
      <c r="B22" s="45"/>
      <c r="C22" s="45"/>
      <c r="D22" s="45"/>
      <c r="E22" s="45"/>
      <c r="F22" s="36"/>
      <c r="G22" s="36"/>
      <c r="H22" s="39"/>
      <c r="I22" s="39"/>
      <c r="J22">
        <f>SUM(浙大:中北!D22)</f>
        <v>0</v>
      </c>
    </row>
    <row r="23" spans="1:10" x14ac:dyDescent="0.2">
      <c r="A23" s="42"/>
      <c r="B23" s="45"/>
      <c r="C23" s="45"/>
      <c r="D23" s="45"/>
      <c r="E23" s="45"/>
      <c r="F23" s="36"/>
      <c r="G23" s="36"/>
      <c r="H23" s="39"/>
      <c r="I23" s="39"/>
      <c r="J23">
        <f>SUM(浙大:中北!D23)</f>
        <v>0</v>
      </c>
    </row>
    <row r="24" spans="1:10" ht="15" thickBot="1" x14ac:dyDescent="0.25">
      <c r="A24" s="43"/>
      <c r="B24" s="46"/>
      <c r="C24" s="46"/>
      <c r="D24" s="46"/>
      <c r="E24" s="46"/>
      <c r="F24" s="37"/>
      <c r="G24" s="37"/>
      <c r="H24" s="40"/>
      <c r="I24" s="40"/>
      <c r="J24">
        <f>SUM(浙大:中北!D24)</f>
        <v>0</v>
      </c>
    </row>
    <row r="25" spans="1:10" ht="25.5" thickBot="1" x14ac:dyDescent="0.25">
      <c r="A25" s="8" t="s">
        <v>19</v>
      </c>
      <c r="B25" s="4">
        <f>SUM(浙大:中北!B25)</f>
        <v>14</v>
      </c>
      <c r="C25" s="4">
        <f>SUM(浙大:中北!C25)</f>
        <v>10</v>
      </c>
      <c r="D25" s="4">
        <f>SUM(浙大:中北!D25)</f>
        <v>5.6220790000000003</v>
      </c>
      <c r="E25" s="4">
        <f>SUM(浙大:中北!E25)</f>
        <v>0</v>
      </c>
      <c r="F25" s="9">
        <f>D25/B25</f>
        <v>0.40157707142857146</v>
      </c>
      <c r="G25" s="9">
        <f>E25/C25</f>
        <v>0</v>
      </c>
      <c r="H25" s="5">
        <f>B25-D25</f>
        <v>8.3779210000000006</v>
      </c>
      <c r="I25" s="5">
        <f>C25-E25</f>
        <v>10</v>
      </c>
      <c r="J25">
        <f>SUM(浙大:中北!D25)</f>
        <v>5.6220790000000003</v>
      </c>
    </row>
    <row r="26" spans="1:10" ht="15" thickBot="1" x14ac:dyDescent="0.25">
      <c r="A26" s="8" t="s">
        <v>20</v>
      </c>
      <c r="B26" s="4">
        <f>SUM(浙大:中北!B26)</f>
        <v>33.200000000000003</v>
      </c>
      <c r="C26" s="4">
        <f>SUM(浙大:中北!C26)</f>
        <v>78</v>
      </c>
      <c r="D26" s="4">
        <f>SUM(浙大:中北!D26)</f>
        <v>27.0075</v>
      </c>
      <c r="E26" s="4">
        <f>SUM(浙大:中北!E26)</f>
        <v>0</v>
      </c>
      <c r="F26" s="9">
        <f t="shared" ref="F26:G26" si="4">D26/B26</f>
        <v>0.81347891566265051</v>
      </c>
      <c r="G26" s="9">
        <f t="shared" si="4"/>
        <v>0</v>
      </c>
      <c r="H26" s="5">
        <f t="shared" ref="H26:H30" si="5">B26-D26</f>
        <v>6.1925000000000026</v>
      </c>
      <c r="I26" s="5">
        <f t="shared" ref="I26:I30" si="6">C26-E26</f>
        <v>78</v>
      </c>
      <c r="J26">
        <f>SUM(浙大:中北!D26)</f>
        <v>27.0075</v>
      </c>
    </row>
    <row r="27" spans="1:10" ht="15" thickBot="1" x14ac:dyDescent="0.25">
      <c r="A27" s="8" t="s">
        <v>21</v>
      </c>
      <c r="B27" s="4">
        <f>SUM(浙大:中北!B27)</f>
        <v>8</v>
      </c>
      <c r="C27" s="4">
        <f>SUM(浙大:中北!C27)</f>
        <v>0</v>
      </c>
      <c r="D27" s="4">
        <f>SUM(浙大:中北!D27)</f>
        <v>0.7</v>
      </c>
      <c r="E27" s="4">
        <f>SUM(浙大:中北!E27)</f>
        <v>0</v>
      </c>
      <c r="F27" s="9">
        <f t="shared" ref="F27:F30" si="7">D27/B27</f>
        <v>8.7499999999999994E-2</v>
      </c>
      <c r="G27" s="9" t="e">
        <f t="shared" ref="G27:G30" si="8">E27/C27</f>
        <v>#DIV/0!</v>
      </c>
      <c r="H27" s="5">
        <f t="shared" si="5"/>
        <v>7.3</v>
      </c>
      <c r="I27" s="5">
        <f t="shared" si="6"/>
        <v>0</v>
      </c>
      <c r="J27">
        <f>SUM(浙大:中北!D27)</f>
        <v>0.7</v>
      </c>
    </row>
    <row r="28" spans="1:10" ht="15" thickBot="1" x14ac:dyDescent="0.25">
      <c r="A28" s="8" t="s">
        <v>22</v>
      </c>
      <c r="B28" s="4">
        <f>SUM(浙大:中北!B28)</f>
        <v>0</v>
      </c>
      <c r="C28" s="4">
        <f>SUM(浙大:中北!C28)</f>
        <v>0</v>
      </c>
      <c r="D28" s="4">
        <f>SUM(浙大:中北!D28)</f>
        <v>0</v>
      </c>
      <c r="E28" s="4">
        <f>SUM(浙大:中北!E28)</f>
        <v>0</v>
      </c>
      <c r="F28" s="9" t="e">
        <f t="shared" si="7"/>
        <v>#DIV/0!</v>
      </c>
      <c r="G28" s="9" t="e">
        <f t="shared" si="8"/>
        <v>#DIV/0!</v>
      </c>
      <c r="H28" s="5">
        <f t="shared" si="5"/>
        <v>0</v>
      </c>
      <c r="I28" s="5">
        <f t="shared" si="6"/>
        <v>0</v>
      </c>
      <c r="J28">
        <f>SUM(浙大:中北!D28)</f>
        <v>0</v>
      </c>
    </row>
    <row r="29" spans="1:10" ht="15" thickBot="1" x14ac:dyDescent="0.25">
      <c r="A29" s="8" t="s">
        <v>23</v>
      </c>
      <c r="B29" s="4">
        <f>SUM(浙大:中北!B29)</f>
        <v>36.299999999999997</v>
      </c>
      <c r="C29" s="4">
        <f>SUM(浙大:中北!C29)</f>
        <v>0</v>
      </c>
      <c r="D29" s="4">
        <f>SUM(浙大:中北!D29)</f>
        <v>18.386347999999998</v>
      </c>
      <c r="E29" s="4">
        <f>SUM(浙大:中北!E29)</f>
        <v>0</v>
      </c>
      <c r="F29" s="9">
        <f t="shared" si="7"/>
        <v>0.50651096418732777</v>
      </c>
      <c r="G29" s="9" t="e">
        <f t="shared" si="8"/>
        <v>#DIV/0!</v>
      </c>
      <c r="H29" s="5">
        <f t="shared" si="5"/>
        <v>17.913651999999999</v>
      </c>
      <c r="I29" s="5">
        <f t="shared" si="6"/>
        <v>0</v>
      </c>
      <c r="J29">
        <f>SUM(浙大:中北!D29)</f>
        <v>18.386347999999998</v>
      </c>
    </row>
    <row r="30" spans="1:10" ht="15" thickBot="1" x14ac:dyDescent="0.25">
      <c r="A30" s="8" t="s">
        <v>24</v>
      </c>
      <c r="B30" s="4">
        <f>SUM(浙大:中北!B30)</f>
        <v>0</v>
      </c>
      <c r="C30" s="4">
        <f>SUM(浙大:中北!C30)</f>
        <v>0</v>
      </c>
      <c r="D30" s="4">
        <f>SUM(浙大:中北!D30)</f>
        <v>0</v>
      </c>
      <c r="E30" s="4">
        <f>SUM(浙大:中北!E30)</f>
        <v>0</v>
      </c>
      <c r="F30" s="9" t="e">
        <f t="shared" si="7"/>
        <v>#DIV/0!</v>
      </c>
      <c r="G30" s="9" t="e">
        <f t="shared" si="8"/>
        <v>#DIV/0!</v>
      </c>
      <c r="H30" s="5">
        <f t="shared" si="5"/>
        <v>0</v>
      </c>
      <c r="I30" s="5">
        <f t="shared" si="6"/>
        <v>0</v>
      </c>
      <c r="J30">
        <f>SUM(浙大:中北!D30)</f>
        <v>0</v>
      </c>
    </row>
    <row r="35" spans="1:12" ht="15" thickBot="1" x14ac:dyDescent="0.25"/>
    <row r="36" spans="1:12" ht="15" thickBot="1" x14ac:dyDescent="0.25">
      <c r="A36" s="68" t="s">
        <v>39</v>
      </c>
      <c r="B36" s="70"/>
      <c r="C36" s="68" t="s">
        <v>40</v>
      </c>
      <c r="D36" s="71"/>
      <c r="E36" s="71"/>
      <c r="F36" s="71"/>
      <c r="G36" s="71"/>
      <c r="H36" s="71"/>
      <c r="I36" s="70"/>
      <c r="J36" s="68" t="s">
        <v>6</v>
      </c>
      <c r="K36" s="71"/>
      <c r="L36" s="70"/>
    </row>
    <row r="37" spans="1:12" ht="51.75" thickBot="1" x14ac:dyDescent="0.25">
      <c r="A37" s="16" t="s">
        <v>41</v>
      </c>
      <c r="B37" s="17" t="s">
        <v>42</v>
      </c>
      <c r="C37" s="68" t="s">
        <v>41</v>
      </c>
      <c r="D37" s="69"/>
      <c r="E37" s="72" t="s">
        <v>42</v>
      </c>
      <c r="F37" s="70"/>
      <c r="G37" s="17" t="s">
        <v>43</v>
      </c>
      <c r="H37" s="17" t="s">
        <v>44</v>
      </c>
      <c r="I37" s="17" t="s">
        <v>45</v>
      </c>
      <c r="J37" s="18" t="s">
        <v>41</v>
      </c>
      <c r="K37" s="19" t="s">
        <v>42</v>
      </c>
      <c r="L37" s="17" t="s">
        <v>44</v>
      </c>
    </row>
    <row r="38" spans="1:12" ht="15" thickBot="1" x14ac:dyDescent="0.25">
      <c r="A38" s="20">
        <v>544</v>
      </c>
      <c r="B38" s="21">
        <v>149.76</v>
      </c>
      <c r="C38" s="64">
        <v>208</v>
      </c>
      <c r="D38" s="65"/>
      <c r="E38" s="66">
        <v>149.76</v>
      </c>
      <c r="F38" s="67"/>
      <c r="G38" s="21">
        <v>86.4</v>
      </c>
      <c r="H38" s="21">
        <v>87.12</v>
      </c>
      <c r="I38" s="17" t="s">
        <v>46</v>
      </c>
      <c r="J38" s="21">
        <v>336</v>
      </c>
      <c r="K38" s="21">
        <v>336</v>
      </c>
      <c r="L38" s="21">
        <v>45.32</v>
      </c>
    </row>
    <row r="39" spans="1:12" ht="15" thickBot="1" x14ac:dyDescent="0.25">
      <c r="A39" s="19" t="s">
        <v>47</v>
      </c>
      <c r="B39" s="17" t="s">
        <v>48</v>
      </c>
      <c r="C39" s="17" t="s">
        <v>49</v>
      </c>
      <c r="D39" s="17" t="s">
        <v>50</v>
      </c>
      <c r="E39" s="17" t="s">
        <v>51</v>
      </c>
      <c r="F39" s="17" t="s">
        <v>52</v>
      </c>
      <c r="G39" s="17" t="s">
        <v>53</v>
      </c>
      <c r="H39" s="17" t="s">
        <v>54</v>
      </c>
      <c r="I39" s="17" t="s">
        <v>55</v>
      </c>
      <c r="J39" s="17" t="s">
        <v>56</v>
      </c>
      <c r="K39" s="68" t="s">
        <v>57</v>
      </c>
      <c r="L39" s="69"/>
    </row>
    <row r="40" spans="1:12" ht="15" thickBot="1" x14ac:dyDescent="0.25">
      <c r="A40" s="22">
        <v>28</v>
      </c>
      <c r="B40" s="21">
        <v>7</v>
      </c>
      <c r="C40" s="21">
        <v>2</v>
      </c>
      <c r="D40" s="21">
        <v>0</v>
      </c>
      <c r="E40" s="21">
        <v>0</v>
      </c>
      <c r="F40" s="21">
        <v>8</v>
      </c>
      <c r="G40" s="21">
        <v>21</v>
      </c>
      <c r="H40" s="21">
        <v>2</v>
      </c>
      <c r="I40" s="21">
        <v>5</v>
      </c>
      <c r="J40" s="21">
        <v>0</v>
      </c>
      <c r="K40" s="64">
        <v>25</v>
      </c>
      <c r="L40" s="65"/>
    </row>
    <row r="49" spans="1:9" ht="15" thickBot="1" x14ac:dyDescent="0.25"/>
    <row r="50" spans="1:9" ht="15" thickBot="1" x14ac:dyDescent="0.25">
      <c r="A50" s="57" t="s">
        <v>58</v>
      </c>
      <c r="B50" s="59" t="s">
        <v>59</v>
      </c>
      <c r="C50" s="60"/>
      <c r="D50" s="57" t="s">
        <v>60</v>
      </c>
      <c r="E50" s="57" t="s">
        <v>5</v>
      </c>
      <c r="F50" s="54" t="s">
        <v>6</v>
      </c>
      <c r="G50" s="63"/>
      <c r="H50" s="63"/>
      <c r="I50" s="53"/>
    </row>
    <row r="51" spans="1:9" ht="36.75" thickBot="1" x14ac:dyDescent="0.25">
      <c r="A51" s="58"/>
      <c r="B51" s="61"/>
      <c r="C51" s="62"/>
      <c r="D51" s="58"/>
      <c r="E51" s="58"/>
      <c r="F51" s="1" t="s">
        <v>61</v>
      </c>
      <c r="G51" s="1" t="s">
        <v>62</v>
      </c>
      <c r="H51" s="1" t="s">
        <v>63</v>
      </c>
      <c r="I51" s="1" t="s">
        <v>64</v>
      </c>
    </row>
    <row r="52" spans="1:9" ht="15.75" thickBot="1" x14ac:dyDescent="0.25">
      <c r="A52" s="23">
        <v>1</v>
      </c>
      <c r="B52" s="54" t="s">
        <v>1</v>
      </c>
      <c r="C52" s="53"/>
      <c r="D52" s="24">
        <v>544</v>
      </c>
      <c r="E52" s="24">
        <v>208</v>
      </c>
      <c r="F52" s="25">
        <v>336</v>
      </c>
      <c r="G52" s="26"/>
      <c r="H52" s="26"/>
      <c r="I52" s="26"/>
    </row>
    <row r="53" spans="1:9" ht="15.75" thickBot="1" x14ac:dyDescent="0.25">
      <c r="A53" s="23">
        <v>2</v>
      </c>
      <c r="B53" s="54" t="s">
        <v>42</v>
      </c>
      <c r="C53" s="53"/>
      <c r="D53" s="24">
        <v>149.76</v>
      </c>
      <c r="E53" s="24">
        <v>149.76</v>
      </c>
      <c r="F53" s="24">
        <v>336</v>
      </c>
      <c r="G53" s="27"/>
      <c r="H53" s="27"/>
      <c r="I53" s="27"/>
    </row>
    <row r="54" spans="1:9" ht="24.75" thickBot="1" x14ac:dyDescent="0.25">
      <c r="A54" s="55">
        <v>-1</v>
      </c>
      <c r="B54" s="57" t="s">
        <v>65</v>
      </c>
      <c r="C54" s="3" t="s">
        <v>66</v>
      </c>
      <c r="D54" s="24">
        <v>149.76</v>
      </c>
      <c r="E54" s="24">
        <v>149.76</v>
      </c>
      <c r="F54" s="25">
        <v>336</v>
      </c>
      <c r="G54" s="26"/>
      <c r="H54" s="26"/>
      <c r="I54" s="26"/>
    </row>
    <row r="55" spans="1:9" ht="60.75" thickBot="1" x14ac:dyDescent="0.25">
      <c r="A55" s="56"/>
      <c r="B55" s="58"/>
      <c r="C55" s="1" t="s">
        <v>67</v>
      </c>
      <c r="D55" s="28" t="s">
        <v>68</v>
      </c>
      <c r="E55" s="24" t="s">
        <v>71</v>
      </c>
      <c r="F55" s="29" t="s">
        <v>68</v>
      </c>
      <c r="G55" s="26"/>
      <c r="H55" s="26"/>
      <c r="I55" s="26"/>
    </row>
    <row r="56" spans="1:9" ht="24.75" thickBot="1" x14ac:dyDescent="0.25">
      <c r="A56" s="55">
        <v>-2</v>
      </c>
      <c r="B56" s="57" t="s">
        <v>70</v>
      </c>
      <c r="C56" s="3" t="s">
        <v>66</v>
      </c>
      <c r="D56" s="30">
        <v>0</v>
      </c>
      <c r="E56" s="28">
        <v>0</v>
      </c>
      <c r="F56" s="29">
        <v>0</v>
      </c>
      <c r="G56" s="26"/>
      <c r="H56" s="26"/>
      <c r="I56" s="26"/>
    </row>
    <row r="57" spans="1:9" ht="60.75" thickBot="1" x14ac:dyDescent="0.25">
      <c r="A57" s="56"/>
      <c r="B57" s="58"/>
      <c r="C57" s="1" t="s">
        <v>67</v>
      </c>
      <c r="D57" s="1" t="s">
        <v>68</v>
      </c>
      <c r="E57" s="24" t="s">
        <v>68</v>
      </c>
      <c r="F57" s="31" t="s">
        <v>68</v>
      </c>
      <c r="G57" s="26"/>
      <c r="H57" s="26"/>
      <c r="I57" s="26"/>
    </row>
  </sheetData>
  <mergeCells count="34">
    <mergeCell ref="C38:D38"/>
    <mergeCell ref="E38:F38"/>
    <mergeCell ref="K39:L39"/>
    <mergeCell ref="K40:L40"/>
    <mergeCell ref="A36:B36"/>
    <mergeCell ref="C36:I36"/>
    <mergeCell ref="J36:L36"/>
    <mergeCell ref="C37:D37"/>
    <mergeCell ref="E37:F37"/>
    <mergeCell ref="F14:F24"/>
    <mergeCell ref="G14:G24"/>
    <mergeCell ref="H14:H24"/>
    <mergeCell ref="I14:I24"/>
    <mergeCell ref="A1:A2"/>
    <mergeCell ref="B1:C1"/>
    <mergeCell ref="D1:E1"/>
    <mergeCell ref="F1:G1"/>
    <mergeCell ref="H1:I1"/>
    <mergeCell ref="A14:A24"/>
    <mergeCell ref="B14:B24"/>
    <mergeCell ref="C14:C24"/>
    <mergeCell ref="D14:D24"/>
    <mergeCell ref="E14:E24"/>
    <mergeCell ref="A50:A51"/>
    <mergeCell ref="B50:C51"/>
    <mergeCell ref="D50:D51"/>
    <mergeCell ref="E50:E51"/>
    <mergeCell ref="F50:I50"/>
    <mergeCell ref="B52:C52"/>
    <mergeCell ref="B53:C53"/>
    <mergeCell ref="A54:A55"/>
    <mergeCell ref="B54:B55"/>
    <mergeCell ref="A56:A57"/>
    <mergeCell ref="B56:B57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F190-A5D0-4F9D-BD45-A440A5057FE8}">
  <dimension ref="A1:L57"/>
  <sheetViews>
    <sheetView topLeftCell="A25" workbookViewId="0">
      <selection activeCell="A5" sqref="A5"/>
    </sheetView>
  </sheetViews>
  <sheetFormatPr defaultRowHeight="14.25" x14ac:dyDescent="0.2"/>
  <cols>
    <col min="1" max="1" width="23.125" bestFit="1" customWidth="1"/>
    <col min="2" max="3" width="6.75" bestFit="1" customWidth="1"/>
    <col min="4" max="5" width="12.25" bestFit="1" customWidth="1"/>
    <col min="6" max="6" width="7" bestFit="1" customWidth="1"/>
    <col min="7" max="7" width="10.25" bestFit="1" customWidth="1"/>
    <col min="8" max="8" width="6.75" bestFit="1" customWidth="1"/>
    <col min="9" max="9" width="7.125" bestFit="1" customWidth="1"/>
  </cols>
  <sheetData>
    <row r="1" spans="1:9" ht="15" thickBot="1" x14ac:dyDescent="0.25">
      <c r="A1" s="50" t="s">
        <v>0</v>
      </c>
      <c r="B1" s="52" t="s">
        <v>1</v>
      </c>
      <c r="C1" s="53"/>
      <c r="D1" s="54" t="s">
        <v>2</v>
      </c>
      <c r="E1" s="53"/>
      <c r="F1" s="54" t="s">
        <v>3</v>
      </c>
      <c r="G1" s="53"/>
      <c r="H1" s="54" t="s">
        <v>4</v>
      </c>
      <c r="I1" s="53"/>
    </row>
    <row r="2" spans="1:9" ht="24.75" thickBot="1" x14ac:dyDescent="0.25">
      <c r="A2" s="51"/>
      <c r="B2" s="1" t="s">
        <v>5</v>
      </c>
      <c r="C2" s="1" t="s">
        <v>6</v>
      </c>
      <c r="D2" s="1" t="s">
        <v>5</v>
      </c>
      <c r="E2" s="1" t="s">
        <v>6</v>
      </c>
      <c r="F2" s="2" t="s">
        <v>5</v>
      </c>
      <c r="G2" s="2" t="s">
        <v>6</v>
      </c>
      <c r="H2" s="2" t="s">
        <v>5</v>
      </c>
      <c r="I2" s="2" t="s">
        <v>6</v>
      </c>
    </row>
    <row r="3" spans="1:9" ht="15" thickBot="1" x14ac:dyDescent="0.25">
      <c r="A3" s="3" t="s">
        <v>7</v>
      </c>
      <c r="B3" s="4">
        <v>152</v>
      </c>
      <c r="C3" s="4">
        <v>224</v>
      </c>
      <c r="D3" s="4">
        <v>61.3</v>
      </c>
      <c r="E3" s="5">
        <v>18.100000000000001</v>
      </c>
      <c r="F3" s="6">
        <v>0.40329999999999999</v>
      </c>
      <c r="G3" s="6">
        <f>E3/C3</f>
        <v>8.0803571428571433E-2</v>
      </c>
      <c r="H3" s="7">
        <v>90.7</v>
      </c>
      <c r="I3" s="7">
        <v>205.9</v>
      </c>
    </row>
    <row r="4" spans="1:9" ht="15" thickBot="1" x14ac:dyDescent="0.25">
      <c r="A4" s="8" t="s">
        <v>8</v>
      </c>
      <c r="B4" s="4">
        <v>125.8</v>
      </c>
      <c r="C4" s="4">
        <v>224</v>
      </c>
      <c r="D4" s="4">
        <v>49.06</v>
      </c>
      <c r="E4" s="5">
        <v>18.100000000000001</v>
      </c>
      <c r="F4" s="6">
        <v>0.39</v>
      </c>
      <c r="G4" s="6">
        <f>E4/C4</f>
        <v>8.0803571428571433E-2</v>
      </c>
      <c r="H4" s="7">
        <v>76.739999999999995</v>
      </c>
      <c r="I4" s="7">
        <v>205.9</v>
      </c>
    </row>
    <row r="5" spans="1:9" ht="15" thickBot="1" x14ac:dyDescent="0.25">
      <c r="A5" s="8" t="s">
        <v>25</v>
      </c>
      <c r="B5" s="4">
        <v>0</v>
      </c>
      <c r="C5" s="4">
        <v>0</v>
      </c>
      <c r="D5" s="4">
        <v>0</v>
      </c>
      <c r="E5" s="5">
        <v>0</v>
      </c>
      <c r="F5" s="6">
        <v>0</v>
      </c>
      <c r="G5" s="11">
        <v>0</v>
      </c>
      <c r="H5" s="7">
        <v>0</v>
      </c>
      <c r="I5" s="7">
        <v>0</v>
      </c>
    </row>
    <row r="6" spans="1:9" ht="15" thickBot="1" x14ac:dyDescent="0.25">
      <c r="A6" s="10" t="s">
        <v>26</v>
      </c>
      <c r="B6" s="4"/>
      <c r="C6" s="4"/>
      <c r="D6" s="4"/>
      <c r="E6" s="5"/>
      <c r="F6" s="6"/>
      <c r="G6" s="11"/>
      <c r="H6" s="7"/>
      <c r="I6" s="7"/>
    </row>
    <row r="7" spans="1:9" ht="15" thickBot="1" x14ac:dyDescent="0.25">
      <c r="A7" s="10" t="s">
        <v>27</v>
      </c>
      <c r="B7" s="4"/>
      <c r="C7" s="4"/>
      <c r="D7" s="4"/>
      <c r="E7" s="5"/>
      <c r="F7" s="6"/>
      <c r="G7" s="11"/>
      <c r="H7" s="7"/>
      <c r="I7" s="7"/>
    </row>
    <row r="8" spans="1:9" ht="15" thickBot="1" x14ac:dyDescent="0.25">
      <c r="A8" s="10" t="s">
        <v>28</v>
      </c>
      <c r="B8" s="4"/>
      <c r="C8" s="4"/>
      <c r="D8" s="4"/>
      <c r="E8" s="5"/>
      <c r="F8" s="6"/>
      <c r="G8" s="11"/>
      <c r="H8" s="7"/>
      <c r="I8" s="7"/>
    </row>
    <row r="9" spans="1:9" ht="15" thickBot="1" x14ac:dyDescent="0.25">
      <c r="A9" s="10" t="s">
        <v>29</v>
      </c>
      <c r="B9" s="4"/>
      <c r="C9" s="4"/>
      <c r="D9" s="4"/>
      <c r="E9" s="5"/>
      <c r="F9" s="6"/>
      <c r="G9" s="11"/>
      <c r="H9" s="7"/>
      <c r="I9" s="7"/>
    </row>
    <row r="10" spans="1:9" ht="15" thickBot="1" x14ac:dyDescent="0.25">
      <c r="A10" s="10" t="s">
        <v>30</v>
      </c>
      <c r="B10" s="4"/>
      <c r="C10" s="4"/>
      <c r="D10" s="4"/>
      <c r="E10" s="5"/>
      <c r="F10" s="6"/>
      <c r="G10" s="11"/>
      <c r="H10" s="7"/>
      <c r="I10" s="7"/>
    </row>
    <row r="11" spans="1:9" ht="15" thickBot="1" x14ac:dyDescent="0.25">
      <c r="A11" s="8" t="s">
        <v>31</v>
      </c>
      <c r="B11" s="4">
        <v>50</v>
      </c>
      <c r="C11" s="4">
        <v>99</v>
      </c>
      <c r="D11" s="4">
        <v>6.77</v>
      </c>
      <c r="E11" s="5">
        <v>0</v>
      </c>
      <c r="F11" s="6">
        <v>0.13539999999999999</v>
      </c>
      <c r="G11" s="11">
        <v>0</v>
      </c>
      <c r="H11" s="7">
        <v>43.23</v>
      </c>
      <c r="I11" s="7">
        <v>99</v>
      </c>
    </row>
    <row r="12" spans="1:9" ht="15" thickBot="1" x14ac:dyDescent="0.25">
      <c r="A12" s="8" t="s">
        <v>32</v>
      </c>
      <c r="B12" s="4">
        <v>37.200000000000003</v>
      </c>
      <c r="C12" s="4">
        <v>92.5</v>
      </c>
      <c r="D12" s="4">
        <v>27.8</v>
      </c>
      <c r="E12" s="5">
        <v>0</v>
      </c>
      <c r="F12" s="6">
        <v>0.74729999999999996</v>
      </c>
      <c r="G12" s="11">
        <v>0</v>
      </c>
      <c r="H12" s="7">
        <v>9.4</v>
      </c>
      <c r="I12" s="7">
        <v>92.5</v>
      </c>
    </row>
    <row r="13" spans="1:9" ht="15" thickBot="1" x14ac:dyDescent="0.25">
      <c r="A13" s="8" t="s">
        <v>33</v>
      </c>
      <c r="B13" s="4">
        <v>0</v>
      </c>
      <c r="C13" s="4">
        <v>11.5</v>
      </c>
      <c r="D13" s="4">
        <v>0</v>
      </c>
      <c r="E13" s="5">
        <v>0</v>
      </c>
      <c r="F13" s="6"/>
      <c r="G13" s="11">
        <v>0</v>
      </c>
      <c r="H13" s="7"/>
      <c r="I13" s="7">
        <v>11.5</v>
      </c>
    </row>
    <row r="14" spans="1:9" x14ac:dyDescent="0.2">
      <c r="A14" s="41" t="s">
        <v>34</v>
      </c>
      <c r="B14" s="44">
        <v>7.9</v>
      </c>
      <c r="C14" s="47">
        <v>0</v>
      </c>
      <c r="D14" s="47">
        <v>3.76</v>
      </c>
      <c r="E14" s="38">
        <v>0</v>
      </c>
      <c r="F14" s="35">
        <v>0.37980000000000003</v>
      </c>
      <c r="G14" s="73">
        <v>0</v>
      </c>
      <c r="H14" s="38">
        <v>4.1399999999999997</v>
      </c>
      <c r="I14" s="38">
        <v>0</v>
      </c>
    </row>
    <row r="15" spans="1:9" x14ac:dyDescent="0.2">
      <c r="A15" s="42"/>
      <c r="B15" s="45"/>
      <c r="C15" s="48"/>
      <c r="D15" s="48"/>
      <c r="E15" s="39"/>
      <c r="F15" s="36"/>
      <c r="G15" s="74"/>
      <c r="H15" s="39"/>
      <c r="I15" s="39"/>
    </row>
    <row r="16" spans="1:9" x14ac:dyDescent="0.2">
      <c r="A16" s="42"/>
      <c r="B16" s="45"/>
      <c r="C16" s="48"/>
      <c r="D16" s="48"/>
      <c r="E16" s="39"/>
      <c r="F16" s="36"/>
      <c r="G16" s="74"/>
      <c r="H16" s="39"/>
      <c r="I16" s="39"/>
    </row>
    <row r="17" spans="1:9" x14ac:dyDescent="0.2">
      <c r="A17" s="42"/>
      <c r="B17" s="45"/>
      <c r="C17" s="48"/>
      <c r="D17" s="48"/>
      <c r="E17" s="39"/>
      <c r="F17" s="36"/>
      <c r="G17" s="74"/>
      <c r="H17" s="39"/>
      <c r="I17" s="39"/>
    </row>
    <row r="18" spans="1:9" x14ac:dyDescent="0.2">
      <c r="A18" s="42"/>
      <c r="B18" s="45"/>
      <c r="C18" s="48"/>
      <c r="D18" s="48"/>
      <c r="E18" s="39"/>
      <c r="F18" s="36"/>
      <c r="G18" s="74"/>
      <c r="H18" s="39"/>
      <c r="I18" s="39"/>
    </row>
    <row r="19" spans="1:9" x14ac:dyDescent="0.2">
      <c r="A19" s="42"/>
      <c r="B19" s="45"/>
      <c r="C19" s="48"/>
      <c r="D19" s="48"/>
      <c r="E19" s="39"/>
      <c r="F19" s="36"/>
      <c r="G19" s="74"/>
      <c r="H19" s="39"/>
      <c r="I19" s="39"/>
    </row>
    <row r="20" spans="1:9" x14ac:dyDescent="0.2">
      <c r="A20" s="42"/>
      <c r="B20" s="45"/>
      <c r="C20" s="48"/>
      <c r="D20" s="48"/>
      <c r="E20" s="39"/>
      <c r="F20" s="36"/>
      <c r="G20" s="74"/>
      <c r="H20" s="39"/>
      <c r="I20" s="39"/>
    </row>
    <row r="21" spans="1:9" x14ac:dyDescent="0.2">
      <c r="A21" s="42"/>
      <c r="B21" s="45"/>
      <c r="C21" s="48"/>
      <c r="D21" s="48"/>
      <c r="E21" s="39"/>
      <c r="F21" s="36"/>
      <c r="G21" s="74"/>
      <c r="H21" s="39"/>
      <c r="I21" s="39"/>
    </row>
    <row r="22" spans="1:9" x14ac:dyDescent="0.2">
      <c r="A22" s="42"/>
      <c r="B22" s="45"/>
      <c r="C22" s="48"/>
      <c r="D22" s="48"/>
      <c r="E22" s="39"/>
      <c r="F22" s="36"/>
      <c r="G22" s="74"/>
      <c r="H22" s="39"/>
      <c r="I22" s="39"/>
    </row>
    <row r="23" spans="1:9" x14ac:dyDescent="0.2">
      <c r="A23" s="42"/>
      <c r="B23" s="45"/>
      <c r="C23" s="48"/>
      <c r="D23" s="48"/>
      <c r="E23" s="39"/>
      <c r="F23" s="36"/>
      <c r="G23" s="74"/>
      <c r="H23" s="39"/>
      <c r="I23" s="39"/>
    </row>
    <row r="24" spans="1:9" ht="15" thickBot="1" x14ac:dyDescent="0.25">
      <c r="A24" s="43"/>
      <c r="B24" s="46"/>
      <c r="C24" s="49"/>
      <c r="D24" s="49"/>
      <c r="E24" s="40"/>
      <c r="F24" s="37"/>
      <c r="G24" s="75"/>
      <c r="H24" s="40"/>
      <c r="I24" s="40"/>
    </row>
    <row r="25" spans="1:9" ht="26.25" thickBot="1" x14ac:dyDescent="0.25">
      <c r="A25" s="8" t="s">
        <v>35</v>
      </c>
      <c r="B25" s="4">
        <v>6.6</v>
      </c>
      <c r="C25" s="4">
        <v>0</v>
      </c>
      <c r="D25" s="4">
        <v>0</v>
      </c>
      <c r="E25" s="5">
        <v>0</v>
      </c>
      <c r="F25" s="9"/>
      <c r="G25" s="11">
        <v>0</v>
      </c>
      <c r="H25" s="5">
        <v>6.6</v>
      </c>
      <c r="I25" s="5">
        <v>0</v>
      </c>
    </row>
    <row r="26" spans="1:9" ht="15" thickBot="1" x14ac:dyDescent="0.25">
      <c r="A26" s="8" t="s">
        <v>36</v>
      </c>
      <c r="B26" s="4">
        <v>20.100000000000001</v>
      </c>
      <c r="C26" s="4">
        <v>21</v>
      </c>
      <c r="D26" s="4">
        <v>10.73</v>
      </c>
      <c r="E26" s="5">
        <v>18.100000000000001</v>
      </c>
      <c r="F26" s="9">
        <v>0.53380000000000005</v>
      </c>
      <c r="G26" s="9">
        <f>E26/C26</f>
        <v>0.86190476190476195</v>
      </c>
      <c r="H26" s="5">
        <v>9.3699999999999992</v>
      </c>
      <c r="I26" s="5">
        <v>2.9</v>
      </c>
    </row>
    <row r="27" spans="1:9" ht="15" thickBot="1" x14ac:dyDescent="0.25">
      <c r="A27" s="8" t="s">
        <v>37</v>
      </c>
      <c r="B27" s="4">
        <v>2</v>
      </c>
      <c r="C27" s="4">
        <v>0</v>
      </c>
      <c r="D27" s="4">
        <v>0</v>
      </c>
      <c r="E27" s="5">
        <v>0</v>
      </c>
      <c r="F27" s="9"/>
      <c r="G27" s="11">
        <v>0</v>
      </c>
      <c r="H27" s="5">
        <v>2</v>
      </c>
      <c r="I27" s="5">
        <v>0</v>
      </c>
    </row>
    <row r="28" spans="1:9" ht="15" thickBot="1" x14ac:dyDescent="0.25">
      <c r="A28" s="8" t="s">
        <v>38</v>
      </c>
      <c r="B28" s="4">
        <v>0</v>
      </c>
      <c r="C28" s="4">
        <v>0</v>
      </c>
      <c r="D28" s="4">
        <v>0</v>
      </c>
      <c r="E28" s="5">
        <v>0</v>
      </c>
      <c r="F28" s="9"/>
      <c r="G28" s="11"/>
      <c r="H28" s="5"/>
      <c r="I28" s="5">
        <v>0</v>
      </c>
    </row>
    <row r="29" spans="1:9" ht="15" thickBot="1" x14ac:dyDescent="0.25">
      <c r="A29" s="8" t="s">
        <v>23</v>
      </c>
      <c r="B29" s="4">
        <v>26.2</v>
      </c>
      <c r="C29" s="4">
        <v>0</v>
      </c>
      <c r="D29" s="4">
        <v>12.24</v>
      </c>
      <c r="E29" s="5">
        <v>0</v>
      </c>
      <c r="F29" s="9">
        <v>0.4672</v>
      </c>
      <c r="G29" s="11"/>
      <c r="H29" s="5">
        <v>13.96</v>
      </c>
      <c r="I29" s="5">
        <v>0</v>
      </c>
    </row>
    <row r="30" spans="1:9" ht="15" thickBot="1" x14ac:dyDescent="0.25">
      <c r="A30" s="8" t="s">
        <v>24</v>
      </c>
      <c r="B30" s="4"/>
      <c r="C30" s="4"/>
      <c r="D30" s="4"/>
      <c r="E30" s="5"/>
      <c r="F30" s="9"/>
      <c r="G30" s="11"/>
      <c r="H30" s="5"/>
      <c r="I30" s="5"/>
    </row>
    <row r="35" spans="1:12" ht="15" thickBot="1" x14ac:dyDescent="0.25"/>
    <row r="36" spans="1:12" ht="15" thickBot="1" x14ac:dyDescent="0.25">
      <c r="A36" s="68" t="s">
        <v>39</v>
      </c>
      <c r="B36" s="70"/>
      <c r="C36" s="68" t="s">
        <v>40</v>
      </c>
      <c r="D36" s="71"/>
      <c r="E36" s="71"/>
      <c r="F36" s="71"/>
      <c r="G36" s="71"/>
      <c r="H36" s="71"/>
      <c r="I36" s="70"/>
      <c r="J36" s="68" t="s">
        <v>6</v>
      </c>
      <c r="K36" s="71"/>
      <c r="L36" s="70"/>
    </row>
    <row r="37" spans="1:12" ht="64.5" thickBot="1" x14ac:dyDescent="0.25">
      <c r="A37" s="16" t="s">
        <v>41</v>
      </c>
      <c r="B37" s="17" t="s">
        <v>42</v>
      </c>
      <c r="C37" s="68" t="s">
        <v>41</v>
      </c>
      <c r="D37" s="69"/>
      <c r="E37" s="72" t="s">
        <v>42</v>
      </c>
      <c r="F37" s="70"/>
      <c r="G37" s="17" t="s">
        <v>43</v>
      </c>
      <c r="H37" s="17" t="s">
        <v>44</v>
      </c>
      <c r="I37" s="17" t="s">
        <v>45</v>
      </c>
      <c r="J37" s="18" t="s">
        <v>41</v>
      </c>
      <c r="K37" s="19" t="s">
        <v>42</v>
      </c>
      <c r="L37" s="17" t="s">
        <v>44</v>
      </c>
    </row>
    <row r="38" spans="1:12" ht="15" thickBot="1" x14ac:dyDescent="0.25">
      <c r="A38" s="20">
        <v>376</v>
      </c>
      <c r="B38" s="21">
        <v>127.54</v>
      </c>
      <c r="C38" s="64">
        <v>152</v>
      </c>
      <c r="D38" s="65"/>
      <c r="E38" s="66">
        <v>109.44</v>
      </c>
      <c r="F38" s="67"/>
      <c r="G38" s="21">
        <v>28.8</v>
      </c>
      <c r="H38" s="21">
        <v>90.7</v>
      </c>
      <c r="I38" s="17" t="s">
        <v>46</v>
      </c>
      <c r="J38" s="21">
        <v>224</v>
      </c>
      <c r="K38" s="21">
        <v>18.100000000000001</v>
      </c>
      <c r="L38" s="21">
        <v>18.100000000000001</v>
      </c>
    </row>
    <row r="39" spans="1:12" ht="26.25" thickBot="1" x14ac:dyDescent="0.25">
      <c r="A39" s="19" t="s">
        <v>47</v>
      </c>
      <c r="B39" s="17" t="s">
        <v>48</v>
      </c>
      <c r="C39" s="17" t="s">
        <v>49</v>
      </c>
      <c r="D39" s="17" t="s">
        <v>50</v>
      </c>
      <c r="E39" s="17" t="s">
        <v>51</v>
      </c>
      <c r="F39" s="17" t="s">
        <v>52</v>
      </c>
      <c r="G39" s="17" t="s">
        <v>53</v>
      </c>
      <c r="H39" s="17" t="s">
        <v>54</v>
      </c>
      <c r="I39" s="17" t="s">
        <v>55</v>
      </c>
      <c r="J39" s="17" t="s">
        <v>56</v>
      </c>
      <c r="K39" s="68" t="s">
        <v>57</v>
      </c>
      <c r="L39" s="69"/>
    </row>
    <row r="40" spans="1:12" ht="15" thickBot="1" x14ac:dyDescent="0.25">
      <c r="A40" s="22">
        <v>15</v>
      </c>
      <c r="B40" s="21">
        <v>1</v>
      </c>
      <c r="C40" s="21">
        <v>3</v>
      </c>
      <c r="D40" s="21">
        <v>0</v>
      </c>
      <c r="E40" s="21">
        <v>0</v>
      </c>
      <c r="F40" s="21">
        <v>12</v>
      </c>
      <c r="G40" s="21">
        <v>3</v>
      </c>
      <c r="H40" s="21">
        <v>12</v>
      </c>
      <c r="I40" s="21">
        <v>0</v>
      </c>
      <c r="J40" s="21">
        <v>0</v>
      </c>
      <c r="K40" s="64">
        <v>5</v>
      </c>
      <c r="L40" s="65"/>
    </row>
    <row r="49" spans="1:9" ht="15" thickBot="1" x14ac:dyDescent="0.25"/>
    <row r="50" spans="1:9" ht="15" thickBot="1" x14ac:dyDescent="0.25">
      <c r="A50" s="57" t="s">
        <v>58</v>
      </c>
      <c r="B50" s="59" t="s">
        <v>59</v>
      </c>
      <c r="C50" s="60"/>
      <c r="D50" s="57" t="s">
        <v>60</v>
      </c>
      <c r="E50" s="57" t="s">
        <v>5</v>
      </c>
      <c r="F50" s="54" t="s">
        <v>6</v>
      </c>
      <c r="G50" s="63"/>
      <c r="H50" s="63"/>
      <c r="I50" s="53"/>
    </row>
    <row r="51" spans="1:9" ht="36.75" thickBot="1" x14ac:dyDescent="0.25">
      <c r="A51" s="58"/>
      <c r="B51" s="61"/>
      <c r="C51" s="62"/>
      <c r="D51" s="58"/>
      <c r="E51" s="58"/>
      <c r="F51" s="1" t="s">
        <v>61</v>
      </c>
      <c r="G51" s="1" t="s">
        <v>62</v>
      </c>
      <c r="H51" s="1" t="s">
        <v>63</v>
      </c>
      <c r="I51" s="1" t="s">
        <v>64</v>
      </c>
    </row>
    <row r="52" spans="1:9" ht="15.75" thickBot="1" x14ac:dyDescent="0.25">
      <c r="A52" s="23">
        <v>1</v>
      </c>
      <c r="B52" s="54" t="s">
        <v>1</v>
      </c>
      <c r="C52" s="53"/>
      <c r="D52" s="24">
        <v>376</v>
      </c>
      <c r="E52" s="24">
        <v>152</v>
      </c>
      <c r="F52" s="25">
        <v>376</v>
      </c>
      <c r="G52" s="26"/>
      <c r="H52" s="26"/>
      <c r="I52" s="26"/>
    </row>
    <row r="53" spans="1:9" ht="15.75" thickBot="1" x14ac:dyDescent="0.25">
      <c r="A53" s="23">
        <v>2</v>
      </c>
      <c r="B53" s="54" t="s">
        <v>42</v>
      </c>
      <c r="C53" s="53"/>
      <c r="D53" s="24">
        <v>109.44</v>
      </c>
      <c r="E53" s="24">
        <v>109.44</v>
      </c>
      <c r="F53" s="24">
        <v>109.44</v>
      </c>
      <c r="G53" s="27"/>
      <c r="H53" s="27"/>
      <c r="I53" s="27"/>
    </row>
    <row r="54" spans="1:9" ht="24.75" thickBot="1" x14ac:dyDescent="0.25">
      <c r="A54" s="55">
        <v>-1</v>
      </c>
      <c r="B54" s="57" t="s">
        <v>65</v>
      </c>
      <c r="C54" s="3" t="s">
        <v>66</v>
      </c>
      <c r="D54" s="24">
        <v>109.44</v>
      </c>
      <c r="E54" s="24">
        <v>109.44</v>
      </c>
      <c r="F54" s="25">
        <v>109.44</v>
      </c>
      <c r="G54" s="26"/>
      <c r="H54" s="26"/>
      <c r="I54" s="26"/>
    </row>
    <row r="55" spans="1:9" ht="72.75" thickBot="1" x14ac:dyDescent="0.25">
      <c r="A55" s="56"/>
      <c r="B55" s="58"/>
      <c r="C55" s="1" t="s">
        <v>67</v>
      </c>
      <c r="D55" s="28" t="s">
        <v>68</v>
      </c>
      <c r="E55" s="24" t="s">
        <v>69</v>
      </c>
      <c r="F55" s="29" t="s">
        <v>68</v>
      </c>
      <c r="G55" s="26"/>
      <c r="H55" s="26"/>
      <c r="I55" s="26"/>
    </row>
    <row r="56" spans="1:9" ht="24.75" thickBot="1" x14ac:dyDescent="0.25">
      <c r="A56" s="55">
        <v>-2</v>
      </c>
      <c r="B56" s="57" t="s">
        <v>70</v>
      </c>
      <c r="C56" s="3" t="s">
        <v>66</v>
      </c>
      <c r="D56" s="30">
        <v>0</v>
      </c>
      <c r="E56" s="28">
        <v>0</v>
      </c>
      <c r="F56" s="29">
        <v>0</v>
      </c>
      <c r="G56" s="26"/>
      <c r="H56" s="26"/>
      <c r="I56" s="26"/>
    </row>
    <row r="57" spans="1:9" ht="72.75" thickBot="1" x14ac:dyDescent="0.25">
      <c r="A57" s="56"/>
      <c r="B57" s="58"/>
      <c r="C57" s="1" t="s">
        <v>67</v>
      </c>
      <c r="D57" s="1" t="s">
        <v>68</v>
      </c>
      <c r="E57" s="24" t="s">
        <v>68</v>
      </c>
      <c r="F57" s="31" t="s">
        <v>68</v>
      </c>
      <c r="G57" s="26"/>
      <c r="H57" s="26"/>
      <c r="I57" s="26"/>
    </row>
  </sheetData>
  <mergeCells count="34">
    <mergeCell ref="K40:L40"/>
    <mergeCell ref="J36:L36"/>
    <mergeCell ref="C37:D37"/>
    <mergeCell ref="E37:F37"/>
    <mergeCell ref="C38:D38"/>
    <mergeCell ref="E38:F38"/>
    <mergeCell ref="K39:L39"/>
    <mergeCell ref="A36:B36"/>
    <mergeCell ref="C36:I36"/>
    <mergeCell ref="F14:F24"/>
    <mergeCell ref="G14:G24"/>
    <mergeCell ref="H14:H24"/>
    <mergeCell ref="I14:I24"/>
    <mergeCell ref="A14:A24"/>
    <mergeCell ref="B14:B24"/>
    <mergeCell ref="C14:C24"/>
    <mergeCell ref="D14:D24"/>
    <mergeCell ref="E14:E24"/>
    <mergeCell ref="F1:G1"/>
    <mergeCell ref="H1:I1"/>
    <mergeCell ref="A1:A2"/>
    <mergeCell ref="B1:C1"/>
    <mergeCell ref="D1:E1"/>
    <mergeCell ref="A50:A51"/>
    <mergeCell ref="B50:C51"/>
    <mergeCell ref="D50:D51"/>
    <mergeCell ref="E50:E51"/>
    <mergeCell ref="F50:I50"/>
    <mergeCell ref="B52:C52"/>
    <mergeCell ref="B53:C53"/>
    <mergeCell ref="A54:A55"/>
    <mergeCell ref="B54:B55"/>
    <mergeCell ref="A56:A57"/>
    <mergeCell ref="B56:B57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77C0C-DD53-4EC2-B275-2D7D9649C400}">
  <dimension ref="A1:L57"/>
  <sheetViews>
    <sheetView workbookViewId="0">
      <selection activeCell="A36" sqref="A36:B36"/>
    </sheetView>
  </sheetViews>
  <sheetFormatPr defaultRowHeight="14.25" x14ac:dyDescent="0.2"/>
  <cols>
    <col min="1" max="1" width="25.25" bestFit="1" customWidth="1"/>
    <col min="2" max="3" width="9" bestFit="1" customWidth="1"/>
    <col min="4" max="5" width="12.25" bestFit="1" customWidth="1"/>
    <col min="6" max="6" width="9" bestFit="1" customWidth="1"/>
    <col min="7" max="8" width="8.5" bestFit="1" customWidth="1"/>
    <col min="9" max="9" width="9" bestFit="1" customWidth="1"/>
  </cols>
  <sheetData>
    <row r="1" spans="1:9" ht="15" thickBot="1" x14ac:dyDescent="0.25">
      <c r="A1" s="50" t="s">
        <v>0</v>
      </c>
      <c r="B1" s="52" t="s">
        <v>1</v>
      </c>
      <c r="C1" s="53"/>
      <c r="D1" s="54" t="s">
        <v>2</v>
      </c>
      <c r="E1" s="53"/>
      <c r="F1" s="54" t="s">
        <v>3</v>
      </c>
      <c r="G1" s="53"/>
      <c r="H1" s="54" t="s">
        <v>4</v>
      </c>
      <c r="I1" s="53"/>
    </row>
    <row r="2" spans="1:9" ht="24.75" thickBot="1" x14ac:dyDescent="0.25">
      <c r="A2" s="51"/>
      <c r="B2" s="1" t="s">
        <v>5</v>
      </c>
      <c r="C2" s="1" t="s">
        <v>6</v>
      </c>
      <c r="D2" s="1" t="s">
        <v>5</v>
      </c>
      <c r="E2" s="1" t="s">
        <v>6</v>
      </c>
      <c r="F2" s="2" t="s">
        <v>5</v>
      </c>
      <c r="G2" s="2" t="s">
        <v>6</v>
      </c>
      <c r="H2" s="2" t="s">
        <v>5</v>
      </c>
      <c r="I2" s="2" t="s">
        <v>6</v>
      </c>
    </row>
    <row r="3" spans="1:9" ht="15" thickBot="1" x14ac:dyDescent="0.25">
      <c r="A3" s="3" t="s">
        <v>7</v>
      </c>
      <c r="B3" s="4">
        <v>152</v>
      </c>
      <c r="C3" s="4">
        <v>0</v>
      </c>
      <c r="D3" s="4">
        <v>86.07</v>
      </c>
      <c r="E3" s="5">
        <v>0</v>
      </c>
      <c r="F3" s="6">
        <v>0.56630000000000003</v>
      </c>
      <c r="G3" s="12">
        <v>0</v>
      </c>
      <c r="H3" s="7">
        <v>65.930000000000007</v>
      </c>
      <c r="I3" s="7">
        <v>0</v>
      </c>
    </row>
    <row r="4" spans="1:9" ht="15" thickBot="1" x14ac:dyDescent="0.25">
      <c r="A4" s="8" t="s">
        <v>8</v>
      </c>
      <c r="B4" s="4">
        <v>119</v>
      </c>
      <c r="C4" s="4">
        <v>0</v>
      </c>
      <c r="D4" s="4">
        <v>64.069999999999993</v>
      </c>
      <c r="E4" s="5">
        <v>0</v>
      </c>
      <c r="F4" s="6">
        <v>0.53839999999999999</v>
      </c>
      <c r="G4" s="12">
        <v>0</v>
      </c>
      <c r="H4" s="7">
        <v>54.93</v>
      </c>
      <c r="I4" s="7">
        <v>0</v>
      </c>
    </row>
    <row r="5" spans="1:9" ht="15" thickBot="1" x14ac:dyDescent="0.25">
      <c r="A5" s="8" t="s">
        <v>9</v>
      </c>
      <c r="B5" s="4">
        <v>0</v>
      </c>
      <c r="C5" s="4">
        <v>0</v>
      </c>
      <c r="D5" s="4">
        <v>0</v>
      </c>
      <c r="E5" s="5">
        <v>0</v>
      </c>
      <c r="F5" s="6">
        <v>0</v>
      </c>
      <c r="G5" s="11">
        <v>0</v>
      </c>
      <c r="H5" s="7">
        <v>0</v>
      </c>
      <c r="I5" s="7">
        <v>0</v>
      </c>
    </row>
    <row r="6" spans="1:9" ht="15" thickBot="1" x14ac:dyDescent="0.25">
      <c r="A6" s="10" t="s">
        <v>10</v>
      </c>
      <c r="B6" s="4">
        <v>0</v>
      </c>
      <c r="C6" s="4">
        <v>0</v>
      </c>
      <c r="D6" s="4">
        <v>0</v>
      </c>
      <c r="E6" s="5">
        <v>0</v>
      </c>
      <c r="F6" s="6">
        <v>0</v>
      </c>
      <c r="G6" s="11">
        <v>0</v>
      </c>
      <c r="H6" s="7">
        <v>0</v>
      </c>
      <c r="I6" s="7">
        <v>0</v>
      </c>
    </row>
    <row r="7" spans="1:9" ht="15" thickBot="1" x14ac:dyDescent="0.25">
      <c r="A7" s="10" t="s">
        <v>11</v>
      </c>
      <c r="B7" s="4">
        <v>0</v>
      </c>
      <c r="C7" s="4">
        <v>0</v>
      </c>
      <c r="D7" s="4">
        <v>0</v>
      </c>
      <c r="E7" s="5">
        <v>0</v>
      </c>
      <c r="F7" s="6">
        <v>0</v>
      </c>
      <c r="G7" s="11">
        <v>0</v>
      </c>
      <c r="H7" s="7">
        <v>0</v>
      </c>
      <c r="I7" s="7">
        <v>0</v>
      </c>
    </row>
    <row r="8" spans="1:9" ht="15" thickBot="1" x14ac:dyDescent="0.25">
      <c r="A8" s="10" t="s">
        <v>12</v>
      </c>
      <c r="B8" s="4">
        <v>0</v>
      </c>
      <c r="C8" s="4">
        <v>0</v>
      </c>
      <c r="D8" s="4">
        <v>0</v>
      </c>
      <c r="E8" s="5">
        <v>0</v>
      </c>
      <c r="F8" s="6">
        <v>0</v>
      </c>
      <c r="G8" s="11">
        <v>0</v>
      </c>
      <c r="H8" s="7">
        <v>0</v>
      </c>
      <c r="I8" s="7">
        <v>0</v>
      </c>
    </row>
    <row r="9" spans="1:9" ht="15" thickBot="1" x14ac:dyDescent="0.25">
      <c r="A9" s="10" t="s">
        <v>13</v>
      </c>
      <c r="B9" s="4">
        <v>0</v>
      </c>
      <c r="C9" s="4">
        <v>0</v>
      </c>
      <c r="D9" s="4">
        <v>0</v>
      </c>
      <c r="E9" s="5">
        <v>0</v>
      </c>
      <c r="F9" s="6">
        <v>0</v>
      </c>
      <c r="G9" s="11">
        <v>0</v>
      </c>
      <c r="H9" s="7">
        <v>0</v>
      </c>
      <c r="I9" s="7">
        <v>0</v>
      </c>
    </row>
    <row r="10" spans="1:9" ht="15" thickBot="1" x14ac:dyDescent="0.25">
      <c r="A10" s="10" t="s">
        <v>14</v>
      </c>
      <c r="B10" s="4">
        <v>0</v>
      </c>
      <c r="C10" s="4">
        <v>0</v>
      </c>
      <c r="D10" s="4">
        <v>0</v>
      </c>
      <c r="E10" s="5">
        <v>0</v>
      </c>
      <c r="F10" s="6">
        <v>0</v>
      </c>
      <c r="G10" s="11">
        <v>0</v>
      </c>
      <c r="H10" s="7">
        <v>0</v>
      </c>
      <c r="I10" s="7">
        <v>0</v>
      </c>
    </row>
    <row r="11" spans="1:9" ht="15" thickBot="1" x14ac:dyDescent="0.25">
      <c r="A11" s="8" t="s">
        <v>15</v>
      </c>
      <c r="B11" s="4">
        <v>28.2</v>
      </c>
      <c r="C11" s="4">
        <v>0</v>
      </c>
      <c r="D11" s="4">
        <v>11.7</v>
      </c>
      <c r="E11" s="5">
        <v>0</v>
      </c>
      <c r="F11" s="6">
        <v>0.41489999999999999</v>
      </c>
      <c r="G11" s="11">
        <v>0</v>
      </c>
      <c r="H11" s="7">
        <v>16.5</v>
      </c>
      <c r="I11" s="7">
        <v>0</v>
      </c>
    </row>
    <row r="12" spans="1:9" ht="15" thickBot="1" x14ac:dyDescent="0.25">
      <c r="A12" s="8" t="s">
        <v>16</v>
      </c>
      <c r="B12" s="4">
        <v>47.5</v>
      </c>
      <c r="C12" s="4">
        <v>0</v>
      </c>
      <c r="D12" s="4">
        <v>28.18</v>
      </c>
      <c r="E12" s="5">
        <v>0</v>
      </c>
      <c r="F12" s="6">
        <v>0.59330000000000005</v>
      </c>
      <c r="G12" s="11">
        <v>0</v>
      </c>
      <c r="H12" s="7">
        <v>19.32</v>
      </c>
      <c r="I12" s="7">
        <v>0</v>
      </c>
    </row>
    <row r="13" spans="1:9" ht="15" thickBot="1" x14ac:dyDescent="0.25">
      <c r="A13" s="8" t="s">
        <v>17</v>
      </c>
      <c r="B13" s="4">
        <v>0</v>
      </c>
      <c r="C13" s="4">
        <v>0</v>
      </c>
      <c r="D13" s="4">
        <v>0</v>
      </c>
      <c r="E13" s="5">
        <v>0</v>
      </c>
      <c r="F13" s="6">
        <v>0</v>
      </c>
      <c r="G13" s="11">
        <v>0</v>
      </c>
      <c r="H13" s="7">
        <v>0</v>
      </c>
      <c r="I13" s="7">
        <v>0</v>
      </c>
    </row>
    <row r="14" spans="1:9" x14ac:dyDescent="0.2">
      <c r="A14" s="41" t="s">
        <v>18</v>
      </c>
      <c r="B14" s="44">
        <v>8.1999999999999993</v>
      </c>
      <c r="C14" s="44">
        <v>0</v>
      </c>
      <c r="D14" s="44">
        <v>8.32</v>
      </c>
      <c r="E14" s="38">
        <v>0</v>
      </c>
      <c r="F14" s="35">
        <v>1.0145999999999999</v>
      </c>
      <c r="G14" s="73">
        <v>0</v>
      </c>
      <c r="H14" s="38">
        <v>-0.12</v>
      </c>
      <c r="I14" s="38">
        <v>0</v>
      </c>
    </row>
    <row r="15" spans="1:9" x14ac:dyDescent="0.2">
      <c r="A15" s="42"/>
      <c r="B15" s="45"/>
      <c r="C15" s="45"/>
      <c r="D15" s="45"/>
      <c r="E15" s="39"/>
      <c r="F15" s="36"/>
      <c r="G15" s="74"/>
      <c r="H15" s="39"/>
      <c r="I15" s="39"/>
    </row>
    <row r="16" spans="1:9" x14ac:dyDescent="0.2">
      <c r="A16" s="42"/>
      <c r="B16" s="45"/>
      <c r="C16" s="45"/>
      <c r="D16" s="45"/>
      <c r="E16" s="39"/>
      <c r="F16" s="36"/>
      <c r="G16" s="74"/>
      <c r="H16" s="39"/>
      <c r="I16" s="39"/>
    </row>
    <row r="17" spans="1:9" x14ac:dyDescent="0.2">
      <c r="A17" s="42"/>
      <c r="B17" s="45"/>
      <c r="C17" s="45"/>
      <c r="D17" s="45"/>
      <c r="E17" s="39"/>
      <c r="F17" s="36"/>
      <c r="G17" s="74"/>
      <c r="H17" s="39"/>
      <c r="I17" s="39"/>
    </row>
    <row r="18" spans="1:9" x14ac:dyDescent="0.2">
      <c r="A18" s="42"/>
      <c r="B18" s="45"/>
      <c r="C18" s="45"/>
      <c r="D18" s="45"/>
      <c r="E18" s="39"/>
      <c r="F18" s="36"/>
      <c r="G18" s="74"/>
      <c r="H18" s="39"/>
      <c r="I18" s="39"/>
    </row>
    <row r="19" spans="1:9" x14ac:dyDescent="0.2">
      <c r="A19" s="42"/>
      <c r="B19" s="45"/>
      <c r="C19" s="45"/>
      <c r="D19" s="45"/>
      <c r="E19" s="39"/>
      <c r="F19" s="36"/>
      <c r="G19" s="74"/>
      <c r="H19" s="39"/>
      <c r="I19" s="39"/>
    </row>
    <row r="20" spans="1:9" x14ac:dyDescent="0.2">
      <c r="A20" s="42"/>
      <c r="B20" s="45"/>
      <c r="C20" s="45"/>
      <c r="D20" s="45"/>
      <c r="E20" s="39"/>
      <c r="F20" s="36"/>
      <c r="G20" s="74"/>
      <c r="H20" s="39"/>
      <c r="I20" s="39"/>
    </row>
    <row r="21" spans="1:9" x14ac:dyDescent="0.2">
      <c r="A21" s="42"/>
      <c r="B21" s="45"/>
      <c r="C21" s="45"/>
      <c r="D21" s="45"/>
      <c r="E21" s="39"/>
      <c r="F21" s="36"/>
      <c r="G21" s="74"/>
      <c r="H21" s="39"/>
      <c r="I21" s="39"/>
    </row>
    <row r="22" spans="1:9" x14ac:dyDescent="0.2">
      <c r="A22" s="42"/>
      <c r="B22" s="45"/>
      <c r="C22" s="45"/>
      <c r="D22" s="45"/>
      <c r="E22" s="39"/>
      <c r="F22" s="36"/>
      <c r="G22" s="74"/>
      <c r="H22" s="39"/>
      <c r="I22" s="39"/>
    </row>
    <row r="23" spans="1:9" x14ac:dyDescent="0.2">
      <c r="A23" s="42"/>
      <c r="B23" s="45"/>
      <c r="C23" s="45"/>
      <c r="D23" s="45"/>
      <c r="E23" s="39"/>
      <c r="F23" s="36"/>
      <c r="G23" s="74"/>
      <c r="H23" s="39"/>
      <c r="I23" s="39"/>
    </row>
    <row r="24" spans="1:9" ht="15" thickBot="1" x14ac:dyDescent="0.25">
      <c r="A24" s="43"/>
      <c r="B24" s="46"/>
      <c r="C24" s="46"/>
      <c r="D24" s="46"/>
      <c r="E24" s="40"/>
      <c r="F24" s="37"/>
      <c r="G24" s="75"/>
      <c r="H24" s="40"/>
      <c r="I24" s="40"/>
    </row>
    <row r="25" spans="1:9" ht="25.5" thickBot="1" x14ac:dyDescent="0.25">
      <c r="A25" s="8" t="s">
        <v>19</v>
      </c>
      <c r="B25" s="4">
        <v>3</v>
      </c>
      <c r="C25" s="4">
        <v>0</v>
      </c>
      <c r="D25" s="4">
        <v>1.35</v>
      </c>
      <c r="E25" s="5">
        <v>0</v>
      </c>
      <c r="F25" s="9">
        <v>0.45</v>
      </c>
      <c r="G25" s="11">
        <v>0</v>
      </c>
      <c r="H25" s="5">
        <v>1.65</v>
      </c>
      <c r="I25" s="5">
        <v>0</v>
      </c>
    </row>
    <row r="26" spans="1:9" ht="15" thickBot="1" x14ac:dyDescent="0.25">
      <c r="A26" s="8" t="s">
        <v>20</v>
      </c>
      <c r="B26" s="4">
        <v>30.6</v>
      </c>
      <c r="C26" s="4">
        <v>0</v>
      </c>
      <c r="D26" s="4">
        <v>14.22</v>
      </c>
      <c r="E26" s="5">
        <v>0</v>
      </c>
      <c r="F26" s="9">
        <v>0.4647</v>
      </c>
      <c r="G26" s="11">
        <v>0</v>
      </c>
      <c r="H26" s="5">
        <v>16.38</v>
      </c>
      <c r="I26" s="5">
        <v>0</v>
      </c>
    </row>
    <row r="27" spans="1:9" ht="15" thickBot="1" x14ac:dyDescent="0.25">
      <c r="A27" s="8" t="s">
        <v>21</v>
      </c>
      <c r="B27" s="4">
        <v>1.5</v>
      </c>
      <c r="C27" s="4">
        <v>0</v>
      </c>
      <c r="D27" s="4">
        <v>0.3</v>
      </c>
      <c r="E27" s="5">
        <v>0</v>
      </c>
      <c r="F27" s="9">
        <v>0.2</v>
      </c>
      <c r="G27" s="11">
        <v>0</v>
      </c>
      <c r="H27" s="5">
        <v>1.2</v>
      </c>
      <c r="I27" s="5">
        <v>0</v>
      </c>
    </row>
    <row r="28" spans="1:9" ht="15" thickBot="1" x14ac:dyDescent="0.25">
      <c r="A28" s="8" t="s">
        <v>22</v>
      </c>
      <c r="B28" s="4">
        <v>0</v>
      </c>
      <c r="C28" s="4">
        <v>0</v>
      </c>
      <c r="D28" s="4">
        <v>0</v>
      </c>
      <c r="E28" s="5">
        <v>0</v>
      </c>
      <c r="F28" s="9">
        <v>0</v>
      </c>
      <c r="G28" s="11">
        <v>0</v>
      </c>
      <c r="H28" s="5">
        <v>0</v>
      </c>
      <c r="I28" s="5">
        <v>0</v>
      </c>
    </row>
    <row r="35" spans="1:12" ht="15" thickBot="1" x14ac:dyDescent="0.25"/>
    <row r="36" spans="1:12" ht="15" thickBot="1" x14ac:dyDescent="0.25">
      <c r="A36" s="68" t="s">
        <v>39</v>
      </c>
      <c r="B36" s="70"/>
      <c r="C36" s="68" t="s">
        <v>40</v>
      </c>
      <c r="D36" s="71"/>
      <c r="E36" s="71"/>
      <c r="F36" s="71"/>
      <c r="G36" s="71"/>
      <c r="H36" s="71"/>
      <c r="I36" s="70"/>
      <c r="J36" s="68" t="s">
        <v>6</v>
      </c>
      <c r="K36" s="71"/>
      <c r="L36" s="70"/>
    </row>
    <row r="37" spans="1:12" ht="51.75" thickBot="1" x14ac:dyDescent="0.25">
      <c r="A37" s="16" t="s">
        <v>41</v>
      </c>
      <c r="B37" s="17" t="s">
        <v>42</v>
      </c>
      <c r="C37" s="68" t="s">
        <v>41</v>
      </c>
      <c r="D37" s="69"/>
      <c r="E37" s="72" t="s">
        <v>42</v>
      </c>
      <c r="F37" s="70"/>
      <c r="G37" s="17" t="s">
        <v>43</v>
      </c>
      <c r="H37" s="17" t="s">
        <v>44</v>
      </c>
      <c r="I37" s="17" t="s">
        <v>45</v>
      </c>
      <c r="J37" s="18" t="s">
        <v>41</v>
      </c>
      <c r="K37" s="19" t="s">
        <v>42</v>
      </c>
      <c r="L37" s="17" t="s">
        <v>44</v>
      </c>
    </row>
    <row r="38" spans="1:12" ht="15" thickBot="1" x14ac:dyDescent="0.25">
      <c r="A38" s="20">
        <v>152</v>
      </c>
      <c r="B38" s="21">
        <v>109.44</v>
      </c>
      <c r="C38" s="64">
        <v>152</v>
      </c>
      <c r="D38" s="65"/>
      <c r="E38" s="66">
        <v>109.44</v>
      </c>
      <c r="F38" s="67"/>
      <c r="G38" s="21">
        <v>28.8</v>
      </c>
      <c r="H38" s="21">
        <v>86.07</v>
      </c>
      <c r="I38" s="17" t="s">
        <v>46</v>
      </c>
      <c r="J38" s="21">
        <v>0</v>
      </c>
      <c r="K38" s="21">
        <v>0</v>
      </c>
      <c r="L38" s="21">
        <v>0</v>
      </c>
    </row>
    <row r="39" spans="1:12" ht="15" thickBot="1" x14ac:dyDescent="0.25">
      <c r="A39" s="19" t="s">
        <v>47</v>
      </c>
      <c r="B39" s="17" t="s">
        <v>48</v>
      </c>
      <c r="C39" s="17" t="s">
        <v>49</v>
      </c>
      <c r="D39" s="17" t="s">
        <v>50</v>
      </c>
      <c r="E39" s="17" t="s">
        <v>51</v>
      </c>
      <c r="F39" s="17" t="s">
        <v>52</v>
      </c>
      <c r="G39" s="17" t="s">
        <v>53</v>
      </c>
      <c r="H39" s="17" t="s">
        <v>54</v>
      </c>
      <c r="I39" s="17" t="s">
        <v>55</v>
      </c>
      <c r="J39" s="17" t="s">
        <v>56</v>
      </c>
      <c r="K39" s="68" t="s">
        <v>57</v>
      </c>
      <c r="L39" s="69"/>
    </row>
    <row r="40" spans="1:12" ht="15" thickBot="1" x14ac:dyDescent="0.25">
      <c r="A40" s="22">
        <v>15</v>
      </c>
      <c r="B40" s="21">
        <v>3</v>
      </c>
      <c r="C40" s="21">
        <v>3</v>
      </c>
      <c r="D40" s="21">
        <v>0</v>
      </c>
      <c r="E40" s="21">
        <v>0</v>
      </c>
      <c r="F40" s="21">
        <v>0</v>
      </c>
      <c r="G40" s="21">
        <v>5</v>
      </c>
      <c r="H40" s="21">
        <v>3</v>
      </c>
      <c r="I40" s="21">
        <v>7</v>
      </c>
      <c r="J40" s="21">
        <v>0</v>
      </c>
      <c r="K40" s="64">
        <v>27.25</v>
      </c>
      <c r="L40" s="65"/>
    </row>
    <row r="49" spans="1:9" ht="15" thickBot="1" x14ac:dyDescent="0.25"/>
    <row r="50" spans="1:9" ht="15" thickBot="1" x14ac:dyDescent="0.25">
      <c r="A50" s="57" t="s">
        <v>58</v>
      </c>
      <c r="B50" s="59" t="s">
        <v>59</v>
      </c>
      <c r="C50" s="60"/>
      <c r="D50" s="57" t="s">
        <v>60</v>
      </c>
      <c r="E50" s="57" t="s">
        <v>5</v>
      </c>
      <c r="F50" s="54" t="s">
        <v>6</v>
      </c>
      <c r="G50" s="63"/>
      <c r="H50" s="63"/>
      <c r="I50" s="53"/>
    </row>
    <row r="51" spans="1:9" ht="36.75" thickBot="1" x14ac:dyDescent="0.25">
      <c r="A51" s="58"/>
      <c r="B51" s="61"/>
      <c r="C51" s="62"/>
      <c r="D51" s="58"/>
      <c r="E51" s="58"/>
      <c r="F51" s="1" t="s">
        <v>61</v>
      </c>
      <c r="G51" s="1" t="s">
        <v>62</v>
      </c>
      <c r="H51" s="1" t="s">
        <v>63</v>
      </c>
      <c r="I51" s="1" t="s">
        <v>64</v>
      </c>
    </row>
    <row r="52" spans="1:9" ht="15.75" thickBot="1" x14ac:dyDescent="0.25">
      <c r="A52" s="23">
        <v>1</v>
      </c>
      <c r="B52" s="54" t="s">
        <v>1</v>
      </c>
      <c r="C52" s="53"/>
      <c r="D52" s="24">
        <v>152</v>
      </c>
      <c r="E52" s="24">
        <v>152</v>
      </c>
      <c r="F52" s="25">
        <v>152</v>
      </c>
      <c r="G52" s="26"/>
      <c r="H52" s="26"/>
      <c r="I52" s="26"/>
    </row>
    <row r="53" spans="1:9" ht="15.75" thickBot="1" x14ac:dyDescent="0.25">
      <c r="A53" s="23">
        <v>2</v>
      </c>
      <c r="B53" s="54" t="s">
        <v>42</v>
      </c>
      <c r="C53" s="53"/>
      <c r="D53" s="24">
        <v>109.44</v>
      </c>
      <c r="E53" s="24">
        <v>109.44</v>
      </c>
      <c r="F53" s="24">
        <v>109.44</v>
      </c>
      <c r="G53" s="27"/>
      <c r="H53" s="27"/>
      <c r="I53" s="27"/>
    </row>
    <row r="54" spans="1:9" ht="24.75" thickBot="1" x14ac:dyDescent="0.25">
      <c r="A54" s="55">
        <v>-1</v>
      </c>
      <c r="B54" s="57" t="s">
        <v>65</v>
      </c>
      <c r="C54" s="3" t="s">
        <v>66</v>
      </c>
      <c r="D54" s="24">
        <v>109.44</v>
      </c>
      <c r="E54" s="24">
        <v>109.44</v>
      </c>
      <c r="F54" s="25">
        <v>109.44</v>
      </c>
      <c r="G54" s="26"/>
      <c r="H54" s="26"/>
      <c r="I54" s="26"/>
    </row>
    <row r="55" spans="1:9" ht="60.75" thickBot="1" x14ac:dyDescent="0.25">
      <c r="A55" s="56"/>
      <c r="B55" s="58"/>
      <c r="C55" s="1" t="s">
        <v>67</v>
      </c>
      <c r="D55" s="33">
        <v>45835</v>
      </c>
      <c r="E55" s="34">
        <v>45835</v>
      </c>
      <c r="F55" s="29" t="s">
        <v>68</v>
      </c>
      <c r="G55" s="26"/>
      <c r="H55" s="26"/>
      <c r="I55" s="26"/>
    </row>
    <row r="56" spans="1:9" ht="24.75" thickBot="1" x14ac:dyDescent="0.25">
      <c r="A56" s="55">
        <v>-2</v>
      </c>
      <c r="B56" s="57" t="s">
        <v>70</v>
      </c>
      <c r="C56" s="3" t="s">
        <v>66</v>
      </c>
      <c r="D56" s="30">
        <v>0</v>
      </c>
      <c r="E56" s="28">
        <v>0</v>
      </c>
      <c r="F56" s="29">
        <v>0</v>
      </c>
      <c r="G56" s="26"/>
      <c r="H56" s="26"/>
      <c r="I56" s="26"/>
    </row>
    <row r="57" spans="1:9" ht="60.75" thickBot="1" x14ac:dyDescent="0.25">
      <c r="A57" s="56"/>
      <c r="B57" s="58"/>
      <c r="C57" s="1" t="s">
        <v>67</v>
      </c>
      <c r="D57" s="1" t="s">
        <v>68</v>
      </c>
      <c r="E57" s="24" t="s">
        <v>68</v>
      </c>
      <c r="F57" s="31" t="s">
        <v>68</v>
      </c>
      <c r="G57" s="26"/>
      <c r="H57" s="26"/>
      <c r="I57" s="26"/>
    </row>
  </sheetData>
  <mergeCells count="34">
    <mergeCell ref="C38:D38"/>
    <mergeCell ref="E38:F38"/>
    <mergeCell ref="K39:L39"/>
    <mergeCell ref="K40:L40"/>
    <mergeCell ref="A36:B36"/>
    <mergeCell ref="C36:I36"/>
    <mergeCell ref="J36:L36"/>
    <mergeCell ref="C37:D37"/>
    <mergeCell ref="E37:F37"/>
    <mergeCell ref="F14:F24"/>
    <mergeCell ref="G14:G24"/>
    <mergeCell ref="H14:H24"/>
    <mergeCell ref="I14:I24"/>
    <mergeCell ref="A14:A24"/>
    <mergeCell ref="B14:B24"/>
    <mergeCell ref="C14:C24"/>
    <mergeCell ref="D14:D24"/>
    <mergeCell ref="E14:E24"/>
    <mergeCell ref="A1:A2"/>
    <mergeCell ref="B1:C1"/>
    <mergeCell ref="D1:E1"/>
    <mergeCell ref="F1:G1"/>
    <mergeCell ref="H1:I1"/>
    <mergeCell ref="A50:A51"/>
    <mergeCell ref="B50:C51"/>
    <mergeCell ref="D50:D51"/>
    <mergeCell ref="E50:E51"/>
    <mergeCell ref="F50:I50"/>
    <mergeCell ref="B52:C52"/>
    <mergeCell ref="B53:C53"/>
    <mergeCell ref="A54:A55"/>
    <mergeCell ref="B54:B55"/>
    <mergeCell ref="A56:A57"/>
    <mergeCell ref="B56:B57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01D4-A612-449F-9ECD-C0A671A71994}">
  <dimension ref="A35:L40"/>
  <sheetViews>
    <sheetView topLeftCell="A13" workbookViewId="0">
      <selection activeCell="P25" sqref="P25"/>
    </sheetView>
  </sheetViews>
  <sheetFormatPr defaultRowHeight="14.25" x14ac:dyDescent="0.2"/>
  <cols>
    <col min="1" max="1" width="7.125" bestFit="1" customWidth="1"/>
  </cols>
  <sheetData>
    <row r="35" spans="1:12" ht="15" thickBot="1" x14ac:dyDescent="0.25"/>
    <row r="36" spans="1:12" ht="15" thickBot="1" x14ac:dyDescent="0.25">
      <c r="A36" s="68" t="s">
        <v>39</v>
      </c>
      <c r="B36" s="70"/>
      <c r="C36" s="68" t="s">
        <v>40</v>
      </c>
      <c r="D36" s="71"/>
      <c r="E36" s="71"/>
      <c r="F36" s="71"/>
      <c r="G36" s="71"/>
      <c r="H36" s="71"/>
      <c r="I36" s="70"/>
      <c r="J36" s="68" t="s">
        <v>6</v>
      </c>
      <c r="K36" s="71"/>
      <c r="L36" s="70"/>
    </row>
    <row r="37" spans="1:12" ht="51.75" thickBot="1" x14ac:dyDescent="0.25">
      <c r="A37" s="16" t="s">
        <v>41</v>
      </c>
      <c r="B37" s="17" t="s">
        <v>42</v>
      </c>
      <c r="C37" s="68" t="s">
        <v>41</v>
      </c>
      <c r="D37" s="69"/>
      <c r="E37" s="72" t="s">
        <v>42</v>
      </c>
      <c r="F37" s="70"/>
      <c r="G37" s="17" t="s">
        <v>43</v>
      </c>
      <c r="H37" s="17" t="s">
        <v>44</v>
      </c>
      <c r="I37" s="17" t="s">
        <v>45</v>
      </c>
      <c r="J37" s="18" t="s">
        <v>41</v>
      </c>
      <c r="K37" s="19" t="s">
        <v>42</v>
      </c>
      <c r="L37" s="17" t="s">
        <v>44</v>
      </c>
    </row>
    <row r="38" spans="1:12" ht="15" thickBot="1" x14ac:dyDescent="0.25">
      <c r="A38" s="20">
        <v>400</v>
      </c>
      <c r="B38" s="21">
        <v>318</v>
      </c>
      <c r="C38" s="64">
        <v>135</v>
      </c>
      <c r="D38" s="65"/>
      <c r="E38" s="66">
        <v>126</v>
      </c>
      <c r="F38" s="67"/>
      <c r="G38" s="21">
        <v>40</v>
      </c>
      <c r="H38" s="21">
        <v>115.77</v>
      </c>
      <c r="I38" s="17" t="s">
        <v>46</v>
      </c>
      <c r="J38" s="21">
        <v>265</v>
      </c>
      <c r="K38" s="21">
        <v>192</v>
      </c>
      <c r="L38" s="21">
        <v>60.58</v>
      </c>
    </row>
    <row r="39" spans="1:12" ht="15" thickBot="1" x14ac:dyDescent="0.25">
      <c r="A39" s="19" t="s">
        <v>47</v>
      </c>
      <c r="B39" s="17" t="s">
        <v>48</v>
      </c>
      <c r="C39" s="17" t="s">
        <v>49</v>
      </c>
      <c r="D39" s="17" t="s">
        <v>50</v>
      </c>
      <c r="E39" s="17" t="s">
        <v>51</v>
      </c>
      <c r="F39" s="17" t="s">
        <v>52</v>
      </c>
      <c r="G39" s="17" t="s">
        <v>53</v>
      </c>
      <c r="H39" s="17" t="s">
        <v>54</v>
      </c>
      <c r="I39" s="17" t="s">
        <v>55</v>
      </c>
      <c r="J39" s="17" t="s">
        <v>56</v>
      </c>
      <c r="K39" s="68" t="s">
        <v>57</v>
      </c>
      <c r="L39" s="69"/>
    </row>
    <row r="40" spans="1:12" ht="15" thickBot="1" x14ac:dyDescent="0.25">
      <c r="A40" s="22">
        <v>20</v>
      </c>
      <c r="B40" s="21">
        <v>5</v>
      </c>
      <c r="C40" s="21">
        <v>16</v>
      </c>
      <c r="D40" s="21">
        <v>2</v>
      </c>
      <c r="E40" s="21">
        <v>0</v>
      </c>
      <c r="F40" s="21">
        <v>2</v>
      </c>
      <c r="G40" s="21">
        <v>11</v>
      </c>
      <c r="H40" s="21">
        <v>7</v>
      </c>
      <c r="I40" s="21">
        <v>2</v>
      </c>
      <c r="J40" s="21">
        <v>0</v>
      </c>
      <c r="K40" s="64">
        <v>15</v>
      </c>
      <c r="L40" s="65"/>
    </row>
  </sheetData>
  <mergeCells count="9">
    <mergeCell ref="K39:L39"/>
    <mergeCell ref="K40:L40"/>
    <mergeCell ref="A36:B36"/>
    <mergeCell ref="C36:I36"/>
    <mergeCell ref="J36:L36"/>
    <mergeCell ref="C37:D37"/>
    <mergeCell ref="E37:F37"/>
    <mergeCell ref="C38:D38"/>
    <mergeCell ref="E38:F38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45E3-1AFA-494A-89B0-727B3825FDFA}">
  <dimension ref="A1"/>
  <sheetViews>
    <sheetView topLeftCell="A13"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8DDE-64A5-4111-B363-7B65AC7AAD45}">
  <dimension ref="A1:L57"/>
  <sheetViews>
    <sheetView zoomScaleNormal="100" workbookViewId="0">
      <selection activeCell="O17" sqref="O17"/>
    </sheetView>
  </sheetViews>
  <sheetFormatPr defaultRowHeight="14.25" x14ac:dyDescent="0.2"/>
  <cols>
    <col min="1" max="1" width="25.75" bestFit="1" customWidth="1"/>
    <col min="2" max="3" width="8.5" bestFit="1" customWidth="1"/>
    <col min="4" max="4" width="9" bestFit="1" customWidth="1"/>
    <col min="5" max="7" width="8.5" bestFit="1" customWidth="1"/>
    <col min="8" max="8" width="9.875" bestFit="1" customWidth="1"/>
    <col min="9" max="9" width="8.5" bestFit="1" customWidth="1"/>
  </cols>
  <sheetData>
    <row r="1" spans="1:11" ht="15" thickBot="1" x14ac:dyDescent="0.25">
      <c r="A1" s="50" t="s">
        <v>0</v>
      </c>
      <c r="B1" s="52" t="s">
        <v>1</v>
      </c>
      <c r="C1" s="53"/>
      <c r="D1" s="54" t="s">
        <v>2</v>
      </c>
      <c r="E1" s="53"/>
      <c r="F1" s="54" t="s">
        <v>3</v>
      </c>
      <c r="G1" s="53"/>
      <c r="H1" s="54" t="s">
        <v>4</v>
      </c>
      <c r="I1" s="53"/>
    </row>
    <row r="2" spans="1:11" ht="24.75" thickBot="1" x14ac:dyDescent="0.25">
      <c r="A2" s="51"/>
      <c r="B2" s="1" t="s">
        <v>5</v>
      </c>
      <c r="C2" s="1" t="s">
        <v>6</v>
      </c>
      <c r="D2" s="1" t="s">
        <v>5</v>
      </c>
      <c r="E2" s="1" t="s">
        <v>6</v>
      </c>
      <c r="F2" s="2" t="s">
        <v>5</v>
      </c>
      <c r="G2" s="2" t="s">
        <v>6</v>
      </c>
      <c r="H2" s="2" t="s">
        <v>5</v>
      </c>
      <c r="I2" s="2" t="s">
        <v>6</v>
      </c>
    </row>
    <row r="3" spans="1:11" ht="15" thickBot="1" x14ac:dyDescent="0.25">
      <c r="A3" s="3" t="s">
        <v>7</v>
      </c>
      <c r="B3" s="4">
        <f>SUM(课题一:课题五!B3)</f>
        <v>512</v>
      </c>
      <c r="C3" s="4">
        <f>SUM(课题一:课题五!C3)</f>
        <v>560</v>
      </c>
      <c r="D3" s="4">
        <f>SUM(课题一:课题五!D3)</f>
        <v>234.48763599999998</v>
      </c>
      <c r="E3" s="4">
        <f>SUM(课题一:课题五!E3)</f>
        <v>63.419165</v>
      </c>
      <c r="F3" s="6">
        <f>D3/B3</f>
        <v>0.45798366406249996</v>
      </c>
      <c r="G3" s="6">
        <f>E3/C3</f>
        <v>0.11324850892857143</v>
      </c>
      <c r="H3" s="7">
        <f>B3-D3</f>
        <v>277.51236400000005</v>
      </c>
      <c r="I3" s="14">
        <f>C3-E3</f>
        <v>496.58083499999998</v>
      </c>
      <c r="J3" s="13">
        <f>SUM(课题一:课题五!H3)</f>
        <v>277.51236400000005</v>
      </c>
      <c r="K3" s="13">
        <f>SUM(课题一:课题五!I3)</f>
        <v>496.58083499999998</v>
      </c>
    </row>
    <row r="4" spans="1:11" ht="15" thickBot="1" x14ac:dyDescent="0.25">
      <c r="A4" s="8" t="s">
        <v>8</v>
      </c>
      <c r="B4" s="4">
        <f>SUM(课题一:课题五!B4)</f>
        <v>416.5</v>
      </c>
      <c r="C4" s="4">
        <f>SUM(课题一:课题五!C4)</f>
        <v>560</v>
      </c>
      <c r="D4" s="4">
        <f>SUM(课题一:课题五!D4)</f>
        <v>181.861288</v>
      </c>
      <c r="E4" s="4">
        <f>SUM(课题一:课题五!E4)</f>
        <v>63.419165</v>
      </c>
      <c r="F4" s="6">
        <f t="shared" ref="F4:F12" si="0">D4/B4</f>
        <v>0.43664174789915966</v>
      </c>
      <c r="G4" s="6">
        <f>E4/C4</f>
        <v>0.11324850892857143</v>
      </c>
      <c r="H4" s="7">
        <f t="shared" ref="H4:I13" si="1">B4-D4</f>
        <v>234.638712</v>
      </c>
      <c r="I4" s="14">
        <f t="shared" si="1"/>
        <v>496.58083499999998</v>
      </c>
      <c r="J4" s="13">
        <f>SUM(课题一:课题五!H4)</f>
        <v>234.638712</v>
      </c>
      <c r="K4" s="13">
        <f>SUM(课题一:课题五!I4)</f>
        <v>496.58083499999998</v>
      </c>
    </row>
    <row r="5" spans="1:11" ht="15" thickBot="1" x14ac:dyDescent="0.25">
      <c r="A5" s="8" t="s">
        <v>9</v>
      </c>
      <c r="B5" s="4">
        <f>SUM(课题一:课题五!B5)</f>
        <v>7</v>
      </c>
      <c r="C5" s="4">
        <f>SUM(课题一:课题五!C5)</f>
        <v>10</v>
      </c>
      <c r="D5" s="4">
        <f>SUM(课题一:课题五!D5)</f>
        <v>0</v>
      </c>
      <c r="E5" s="4">
        <f>SUM(课题一:课题五!E5)</f>
        <v>0</v>
      </c>
      <c r="F5" s="6">
        <f t="shared" si="0"/>
        <v>0</v>
      </c>
      <c r="G5" s="6">
        <f t="shared" ref="G5:G13" si="2">E5/C5</f>
        <v>0</v>
      </c>
      <c r="H5" s="7">
        <f t="shared" si="1"/>
        <v>7</v>
      </c>
      <c r="I5" s="14">
        <f t="shared" si="1"/>
        <v>10</v>
      </c>
      <c r="J5" s="13">
        <f>SUM(课题一:课题五!H5)</f>
        <v>7</v>
      </c>
      <c r="K5" s="13">
        <f>SUM(课题一:课题五!I5)</f>
        <v>10</v>
      </c>
    </row>
    <row r="6" spans="1:11" ht="15" thickBot="1" x14ac:dyDescent="0.25">
      <c r="A6" s="10" t="s">
        <v>10</v>
      </c>
      <c r="B6" s="4">
        <f>SUM(课题一:课题五!B6)</f>
        <v>7</v>
      </c>
      <c r="C6" s="4">
        <f>SUM(课题一:课题五!C6)</f>
        <v>10</v>
      </c>
      <c r="D6" s="4">
        <f>SUM(课题一:课题五!D6)</f>
        <v>0</v>
      </c>
      <c r="E6" s="4">
        <f>SUM(课题一:课题五!E6)</f>
        <v>0</v>
      </c>
      <c r="F6" s="6">
        <f t="shared" si="0"/>
        <v>0</v>
      </c>
      <c r="G6" s="6">
        <f t="shared" si="2"/>
        <v>0</v>
      </c>
      <c r="H6" s="7">
        <f t="shared" si="1"/>
        <v>7</v>
      </c>
      <c r="I6" s="14">
        <f t="shared" si="1"/>
        <v>10</v>
      </c>
      <c r="J6" s="13">
        <f>SUM(课题一:课题五!H6)</f>
        <v>7</v>
      </c>
      <c r="K6" s="13">
        <f>SUM(课题一:课题五!I6)</f>
        <v>10</v>
      </c>
    </row>
    <row r="7" spans="1:11" ht="15" thickBot="1" x14ac:dyDescent="0.25">
      <c r="A7" s="10" t="s">
        <v>11</v>
      </c>
      <c r="B7" s="4">
        <f>SUM(课题一:课题五!B7)</f>
        <v>0</v>
      </c>
      <c r="C7" s="4">
        <f>SUM(课题一:课题五!C7)</f>
        <v>0</v>
      </c>
      <c r="D7" s="4">
        <f>SUM(课题一:课题五!D7)</f>
        <v>0</v>
      </c>
      <c r="E7" s="4">
        <f>SUM(课题一:课题五!E7)</f>
        <v>0</v>
      </c>
      <c r="F7" s="6">
        <v>0</v>
      </c>
      <c r="G7" s="6" t="e">
        <f t="shared" si="2"/>
        <v>#DIV/0!</v>
      </c>
      <c r="H7" s="7">
        <f t="shared" si="1"/>
        <v>0</v>
      </c>
      <c r="I7" s="14">
        <f t="shared" si="1"/>
        <v>0</v>
      </c>
      <c r="J7" s="13">
        <f>SUM(课题一:课题五!H7)</f>
        <v>0</v>
      </c>
      <c r="K7" s="13">
        <f>SUM(课题一:课题五!I7)</f>
        <v>0</v>
      </c>
    </row>
    <row r="8" spans="1:11" ht="15" thickBot="1" x14ac:dyDescent="0.25">
      <c r="A8" s="10" t="s">
        <v>12</v>
      </c>
      <c r="B8" s="4">
        <f>SUM(课题一:课题五!B8)</f>
        <v>0</v>
      </c>
      <c r="C8" s="4">
        <f>SUM(课题一:课题五!C8)</f>
        <v>0</v>
      </c>
      <c r="D8" s="4">
        <f>SUM(课题一:课题五!D8)</f>
        <v>0</v>
      </c>
      <c r="E8" s="4">
        <f>SUM(课题一:课题五!E8)</f>
        <v>0</v>
      </c>
      <c r="F8" s="6">
        <v>0</v>
      </c>
      <c r="G8" s="6" t="e">
        <f t="shared" si="2"/>
        <v>#DIV/0!</v>
      </c>
      <c r="H8" s="7">
        <f t="shared" si="1"/>
        <v>0</v>
      </c>
      <c r="I8" s="14">
        <f t="shared" si="1"/>
        <v>0</v>
      </c>
      <c r="J8" s="13">
        <f>SUM(课题一:课题五!H8)</f>
        <v>0</v>
      </c>
      <c r="K8" s="13">
        <f>SUM(课题一:课题五!I8)</f>
        <v>0</v>
      </c>
    </row>
    <row r="9" spans="1:11" ht="15" thickBot="1" x14ac:dyDescent="0.25">
      <c r="A9" s="10" t="s">
        <v>13</v>
      </c>
      <c r="B9" s="4">
        <f>SUM(课题一:课题五!B9)</f>
        <v>0</v>
      </c>
      <c r="C9" s="4">
        <f>SUM(课题一:课题五!C9)</f>
        <v>0</v>
      </c>
      <c r="D9" s="4">
        <f>SUM(课题一:课题五!D9)</f>
        <v>0</v>
      </c>
      <c r="E9" s="4">
        <f>SUM(课题一:课题五!E9)</f>
        <v>0</v>
      </c>
      <c r="F9" s="6">
        <v>0</v>
      </c>
      <c r="G9" s="6" t="e">
        <f t="shared" si="2"/>
        <v>#DIV/0!</v>
      </c>
      <c r="H9" s="7">
        <f t="shared" si="1"/>
        <v>0</v>
      </c>
      <c r="I9" s="14">
        <f t="shared" si="1"/>
        <v>0</v>
      </c>
      <c r="J9" s="13">
        <f>SUM(课题一:课题五!H9)</f>
        <v>0</v>
      </c>
      <c r="K9" s="13">
        <f>SUM(课题一:课题五!I9)</f>
        <v>0</v>
      </c>
    </row>
    <row r="10" spans="1:11" ht="15" thickBot="1" x14ac:dyDescent="0.25">
      <c r="A10" s="10" t="s">
        <v>14</v>
      </c>
      <c r="B10" s="4">
        <f>SUM(课题一:课题五!B10)</f>
        <v>0</v>
      </c>
      <c r="C10" s="4">
        <f>SUM(课题一:课题五!C10)</f>
        <v>0</v>
      </c>
      <c r="D10" s="4">
        <f>SUM(课题一:课题五!D10)</f>
        <v>0</v>
      </c>
      <c r="E10" s="4">
        <f>SUM(课题一:课题五!E10)</f>
        <v>0</v>
      </c>
      <c r="F10" s="6">
        <v>0</v>
      </c>
      <c r="G10" s="6" t="e">
        <f>E10/C10</f>
        <v>#DIV/0!</v>
      </c>
      <c r="H10" s="7">
        <f t="shared" si="1"/>
        <v>0</v>
      </c>
      <c r="I10" s="14">
        <f t="shared" si="1"/>
        <v>0</v>
      </c>
      <c r="J10" s="13">
        <f>SUM(课题一:课题五!H10)</f>
        <v>0</v>
      </c>
      <c r="K10" s="13">
        <f>SUM(课题一:课题五!I10)</f>
        <v>0</v>
      </c>
    </row>
    <row r="11" spans="1:11" ht="15" thickBot="1" x14ac:dyDescent="0.25">
      <c r="A11" s="8" t="s">
        <v>15</v>
      </c>
      <c r="B11" s="4">
        <f>SUM(课题一:课题五!B11)</f>
        <v>146.4</v>
      </c>
      <c r="C11" s="4">
        <f>SUM(课题一:课题五!C11)</f>
        <v>275</v>
      </c>
      <c r="D11" s="4">
        <f>SUM(课题一:课题五!D11)</f>
        <v>40.695205000000001</v>
      </c>
      <c r="E11" s="4">
        <f>SUM(课题一:课题五!E11)</f>
        <v>44.6</v>
      </c>
      <c r="F11" s="6">
        <f t="shared" si="0"/>
        <v>0.27797271174863386</v>
      </c>
      <c r="G11" s="6">
        <f t="shared" si="2"/>
        <v>0.16218181818181818</v>
      </c>
      <c r="H11" s="7">
        <f t="shared" si="1"/>
        <v>105.704795</v>
      </c>
      <c r="I11" s="14">
        <f t="shared" si="1"/>
        <v>230.4</v>
      </c>
      <c r="J11" s="13">
        <f>SUM(课题一:课题五!H11)</f>
        <v>105.70479499999999</v>
      </c>
      <c r="K11" s="13">
        <f>SUM(课题一:课题五!I11)</f>
        <v>230.4</v>
      </c>
    </row>
    <row r="12" spans="1:11" ht="15" thickBot="1" x14ac:dyDescent="0.25">
      <c r="A12" s="8" t="s">
        <v>16</v>
      </c>
      <c r="B12" s="4">
        <f>SUM(课题一:课题五!B12)</f>
        <v>104.5</v>
      </c>
      <c r="C12" s="4">
        <f>SUM(课题一:课题五!C12)</f>
        <v>148.5</v>
      </c>
      <c r="D12" s="4">
        <f>SUM(课题一:课题五!D12)</f>
        <v>61.594200000000001</v>
      </c>
      <c r="E12" s="4">
        <f>SUM(课题一:课题五!E12)</f>
        <v>0</v>
      </c>
      <c r="F12" s="6">
        <f t="shared" si="0"/>
        <v>0.58941818181818184</v>
      </c>
      <c r="G12" s="6">
        <f t="shared" si="2"/>
        <v>0</v>
      </c>
      <c r="H12" s="7">
        <f t="shared" si="1"/>
        <v>42.905799999999999</v>
      </c>
      <c r="I12" s="14">
        <f t="shared" si="1"/>
        <v>148.5</v>
      </c>
      <c r="J12" s="13">
        <f>SUM(课题一:课题五!H12)</f>
        <v>42.905799999999999</v>
      </c>
      <c r="K12" s="13">
        <f>SUM(课题一:课题五!I12)</f>
        <v>148.5</v>
      </c>
    </row>
    <row r="13" spans="1:11" ht="15" thickBot="1" x14ac:dyDescent="0.25">
      <c r="A13" s="8" t="s">
        <v>17</v>
      </c>
      <c r="B13" s="4">
        <f>SUM(课题一:课题五!B13)</f>
        <v>0</v>
      </c>
      <c r="C13" s="4">
        <f>SUM(课题一:课题五!C13)</f>
        <v>11.5</v>
      </c>
      <c r="D13" s="4">
        <f>SUM(课题一:课题五!D13)</f>
        <v>0</v>
      </c>
      <c r="E13" s="4">
        <f>SUM(课题一:课题五!E13)</f>
        <v>0</v>
      </c>
      <c r="F13" s="6">
        <v>0</v>
      </c>
      <c r="G13" s="6">
        <f t="shared" si="2"/>
        <v>0</v>
      </c>
      <c r="H13" s="7">
        <f t="shared" si="1"/>
        <v>0</v>
      </c>
      <c r="I13" s="14">
        <f t="shared" si="1"/>
        <v>11.5</v>
      </c>
      <c r="J13" s="13">
        <f>SUM(课题一:课题五!H13)</f>
        <v>0</v>
      </c>
      <c r="K13" s="13">
        <f>SUM(课题一:课题五!I13)</f>
        <v>11.5</v>
      </c>
    </row>
    <row r="14" spans="1:11" x14ac:dyDescent="0.2">
      <c r="A14" s="41" t="s">
        <v>18</v>
      </c>
      <c r="B14" s="44">
        <f>SUM(课题一:课题五!B14:B24)</f>
        <v>37.599999999999994</v>
      </c>
      <c r="C14" s="44">
        <f>SUM(课题一:课题五!C14:C24)</f>
        <v>6</v>
      </c>
      <c r="D14" s="44">
        <f>SUM(课题一:课题五!D14:D24)</f>
        <v>19.642303999999999</v>
      </c>
      <c r="E14" s="44">
        <f>SUM(课题一:课题五!E14:E24)</f>
        <v>0.71916500000000005</v>
      </c>
      <c r="F14" s="35">
        <f>D14/B14</f>
        <v>0.52240170212765968</v>
      </c>
      <c r="G14" s="35">
        <f>E14/C14</f>
        <v>0.11986083333333335</v>
      </c>
      <c r="H14" s="38">
        <f>B14-D14</f>
        <v>17.957695999999995</v>
      </c>
      <c r="I14" s="77">
        <f>C14-E14</f>
        <v>5.2808349999999997</v>
      </c>
      <c r="J14" s="76">
        <f>SUM(课题一:课题五!H14:H24)</f>
        <v>17.957695999999999</v>
      </c>
      <c r="K14" s="76">
        <f>SUM(课题一:课题五!I14:I24)</f>
        <v>5.2808349999999997</v>
      </c>
    </row>
    <row r="15" spans="1:11" x14ac:dyDescent="0.2">
      <c r="A15" s="42"/>
      <c r="B15" s="45"/>
      <c r="C15" s="45"/>
      <c r="D15" s="45"/>
      <c r="E15" s="45"/>
      <c r="F15" s="36"/>
      <c r="G15" s="36"/>
      <c r="H15" s="39"/>
      <c r="I15" s="78"/>
      <c r="J15" s="76"/>
      <c r="K15" s="76"/>
    </row>
    <row r="16" spans="1:11" x14ac:dyDescent="0.2">
      <c r="A16" s="42"/>
      <c r="B16" s="45"/>
      <c r="C16" s="45"/>
      <c r="D16" s="45"/>
      <c r="E16" s="45"/>
      <c r="F16" s="36"/>
      <c r="G16" s="36"/>
      <c r="H16" s="39"/>
      <c r="I16" s="78"/>
      <c r="J16" s="76"/>
      <c r="K16" s="76"/>
    </row>
    <row r="17" spans="1:11" x14ac:dyDescent="0.2">
      <c r="A17" s="42"/>
      <c r="B17" s="45"/>
      <c r="C17" s="45"/>
      <c r="D17" s="45"/>
      <c r="E17" s="45"/>
      <c r="F17" s="36"/>
      <c r="G17" s="36"/>
      <c r="H17" s="39"/>
      <c r="I17" s="78"/>
      <c r="J17" s="76"/>
      <c r="K17" s="76"/>
    </row>
    <row r="18" spans="1:11" x14ac:dyDescent="0.2">
      <c r="A18" s="42"/>
      <c r="B18" s="45"/>
      <c r="C18" s="45"/>
      <c r="D18" s="45"/>
      <c r="E18" s="45"/>
      <c r="F18" s="36"/>
      <c r="G18" s="36"/>
      <c r="H18" s="39"/>
      <c r="I18" s="78"/>
      <c r="J18" s="76"/>
      <c r="K18" s="76"/>
    </row>
    <row r="19" spans="1:11" x14ac:dyDescent="0.2">
      <c r="A19" s="42"/>
      <c r="B19" s="45"/>
      <c r="C19" s="45"/>
      <c r="D19" s="45"/>
      <c r="E19" s="45"/>
      <c r="F19" s="36"/>
      <c r="G19" s="36"/>
      <c r="H19" s="39"/>
      <c r="I19" s="78"/>
      <c r="J19" s="76"/>
      <c r="K19" s="76"/>
    </row>
    <row r="20" spans="1:11" x14ac:dyDescent="0.2">
      <c r="A20" s="42"/>
      <c r="B20" s="45"/>
      <c r="C20" s="45"/>
      <c r="D20" s="45"/>
      <c r="E20" s="45"/>
      <c r="F20" s="36"/>
      <c r="G20" s="36"/>
      <c r="H20" s="39"/>
      <c r="I20" s="78"/>
      <c r="J20" s="76"/>
      <c r="K20" s="76"/>
    </row>
    <row r="21" spans="1:11" x14ac:dyDescent="0.2">
      <c r="A21" s="42"/>
      <c r="B21" s="45"/>
      <c r="C21" s="45"/>
      <c r="D21" s="45"/>
      <c r="E21" s="45"/>
      <c r="F21" s="36"/>
      <c r="G21" s="36"/>
      <c r="H21" s="39"/>
      <c r="I21" s="78"/>
      <c r="J21" s="76"/>
      <c r="K21" s="76"/>
    </row>
    <row r="22" spans="1:11" x14ac:dyDescent="0.2">
      <c r="A22" s="42"/>
      <c r="B22" s="45"/>
      <c r="C22" s="45"/>
      <c r="D22" s="45"/>
      <c r="E22" s="45"/>
      <c r="F22" s="36"/>
      <c r="G22" s="36"/>
      <c r="H22" s="39"/>
      <c r="I22" s="78"/>
      <c r="J22" s="76"/>
      <c r="K22" s="76"/>
    </row>
    <row r="23" spans="1:11" x14ac:dyDescent="0.2">
      <c r="A23" s="42"/>
      <c r="B23" s="45"/>
      <c r="C23" s="45"/>
      <c r="D23" s="45"/>
      <c r="E23" s="45"/>
      <c r="F23" s="36"/>
      <c r="G23" s="36"/>
      <c r="H23" s="39"/>
      <c r="I23" s="78"/>
      <c r="J23" s="76"/>
      <c r="K23" s="76"/>
    </row>
    <row r="24" spans="1:11" ht="15" thickBot="1" x14ac:dyDescent="0.25">
      <c r="A24" s="43"/>
      <c r="B24" s="46"/>
      <c r="C24" s="46"/>
      <c r="D24" s="46"/>
      <c r="E24" s="46"/>
      <c r="F24" s="37"/>
      <c r="G24" s="37"/>
      <c r="H24" s="40"/>
      <c r="I24" s="79"/>
      <c r="J24" s="76"/>
      <c r="K24" s="76"/>
    </row>
    <row r="25" spans="1:11" ht="25.5" thickBot="1" x14ac:dyDescent="0.25">
      <c r="A25" s="8" t="s">
        <v>19</v>
      </c>
      <c r="B25" s="4">
        <f>SUM(课题一:课题五!B25)</f>
        <v>23.6</v>
      </c>
      <c r="C25" s="4">
        <f>SUM(课题一:课题五!C25)</f>
        <v>10</v>
      </c>
      <c r="D25" s="4">
        <f>SUM(课题一:课题五!D25)</f>
        <v>6.9720790000000008</v>
      </c>
      <c r="E25" s="4">
        <f>SUM(课题一:课题五!E25)</f>
        <v>0</v>
      </c>
      <c r="F25" s="9">
        <f>D25/B25</f>
        <v>0.29542707627118647</v>
      </c>
      <c r="G25" s="9">
        <f>E25/C25</f>
        <v>0</v>
      </c>
      <c r="H25" s="5">
        <f>B25-D25</f>
        <v>16.627921000000001</v>
      </c>
      <c r="I25" s="15">
        <f>C25-E25</f>
        <v>10</v>
      </c>
      <c r="J25" s="13">
        <f>SUM(课题一:课题五!H25)</f>
        <v>16.627921000000001</v>
      </c>
      <c r="K25" s="13">
        <f>SUM(课题一:课题五!I25)</f>
        <v>10</v>
      </c>
    </row>
    <row r="26" spans="1:11" ht="15" thickBot="1" x14ac:dyDescent="0.25">
      <c r="A26" s="8" t="s">
        <v>20</v>
      </c>
      <c r="B26" s="4">
        <f>SUM(课题一:课题五!B26)</f>
        <v>83.9</v>
      </c>
      <c r="C26" s="4">
        <f>SUM(课题一:课题五!C26)</f>
        <v>99</v>
      </c>
      <c r="D26" s="4">
        <f>SUM(课题一:课题五!D26)</f>
        <v>51.957499999999996</v>
      </c>
      <c r="E26" s="4">
        <f>SUM(课题一:课题五!E26)</f>
        <v>18.100000000000001</v>
      </c>
      <c r="F26" s="9">
        <f t="shared" ref="F26:F29" si="3">D26/B26</f>
        <v>0.61927890345649572</v>
      </c>
      <c r="G26" s="9">
        <f t="shared" ref="G26:G30" si="4">E26/C26</f>
        <v>0.18282828282828284</v>
      </c>
      <c r="H26" s="5">
        <f t="shared" ref="H26:I30" si="5">B26-D26</f>
        <v>31.94250000000001</v>
      </c>
      <c r="I26" s="15">
        <f t="shared" si="5"/>
        <v>80.900000000000006</v>
      </c>
      <c r="J26" s="13">
        <f>SUM(课题一:课题五!H26)</f>
        <v>31.942500000000003</v>
      </c>
      <c r="K26" s="13">
        <f>SUM(课题一:课题五!I26)</f>
        <v>80.900000000000006</v>
      </c>
    </row>
    <row r="27" spans="1:11" ht="15" thickBot="1" x14ac:dyDescent="0.25">
      <c r="A27" s="8" t="s">
        <v>21</v>
      </c>
      <c r="B27" s="4">
        <f>SUM(课题一:课题五!B27)</f>
        <v>11.5</v>
      </c>
      <c r="C27" s="4">
        <f>SUM(课题一:课题五!C27)</f>
        <v>0</v>
      </c>
      <c r="D27" s="4">
        <f>SUM(课题一:课题五!D27)</f>
        <v>1</v>
      </c>
      <c r="E27" s="4">
        <f>SUM(课题一:课题五!E27)</f>
        <v>0</v>
      </c>
      <c r="F27" s="9">
        <f t="shared" si="3"/>
        <v>8.6956521739130432E-2</v>
      </c>
      <c r="G27" s="9" t="e">
        <f t="shared" si="4"/>
        <v>#DIV/0!</v>
      </c>
      <c r="H27" s="5">
        <f t="shared" si="5"/>
        <v>10.5</v>
      </c>
      <c r="I27" s="15">
        <f t="shared" si="5"/>
        <v>0</v>
      </c>
      <c r="J27" s="13">
        <f>SUM(课题一:课题五!H27)</f>
        <v>10.5</v>
      </c>
      <c r="K27" s="13">
        <f>SUM(课题一:课题五!I27)</f>
        <v>0</v>
      </c>
    </row>
    <row r="28" spans="1:11" ht="15" thickBot="1" x14ac:dyDescent="0.25">
      <c r="A28" s="8" t="s">
        <v>22</v>
      </c>
      <c r="B28" s="4">
        <f>SUM(课题一:课题五!B28)</f>
        <v>0</v>
      </c>
      <c r="C28" s="4">
        <f>SUM(课题一:课题五!C28)</f>
        <v>0</v>
      </c>
      <c r="D28" s="4">
        <f>SUM(课题一:课题五!D28)</f>
        <v>0</v>
      </c>
      <c r="E28" s="4">
        <f>SUM(课题一:课题五!E28)</f>
        <v>0</v>
      </c>
      <c r="F28" s="9">
        <v>0</v>
      </c>
      <c r="G28" s="9" t="e">
        <f t="shared" si="4"/>
        <v>#DIV/0!</v>
      </c>
      <c r="H28" s="5">
        <f t="shared" si="5"/>
        <v>0</v>
      </c>
      <c r="I28" s="15">
        <f t="shared" si="5"/>
        <v>0</v>
      </c>
      <c r="J28" s="13">
        <f>SUM(课题一:课题五!H28)</f>
        <v>0</v>
      </c>
      <c r="K28" s="13">
        <f>SUM(课题一:课题五!I28)</f>
        <v>0</v>
      </c>
    </row>
    <row r="29" spans="1:11" ht="15" thickBot="1" x14ac:dyDescent="0.25">
      <c r="A29" s="8" t="s">
        <v>23</v>
      </c>
      <c r="B29" s="4">
        <f>SUM(课题一:课题五!B29)</f>
        <v>62.5</v>
      </c>
      <c r="C29" s="4">
        <f>SUM(课题一:课题五!C29)</f>
        <v>0</v>
      </c>
      <c r="D29" s="4">
        <f>SUM(课题一:课题五!D29)</f>
        <v>30.626348</v>
      </c>
      <c r="E29" s="4">
        <f>SUM(课题一:课题五!E29)</f>
        <v>0</v>
      </c>
      <c r="F29" s="9">
        <f t="shared" si="3"/>
        <v>0.49002156800000002</v>
      </c>
      <c r="G29" s="9" t="e">
        <f t="shared" si="4"/>
        <v>#DIV/0!</v>
      </c>
      <c r="H29" s="5">
        <f t="shared" si="5"/>
        <v>31.873652</v>
      </c>
      <c r="I29" s="15">
        <f t="shared" si="5"/>
        <v>0</v>
      </c>
      <c r="J29" s="13">
        <f>SUM(课题一:课题五!H29)</f>
        <v>31.873652</v>
      </c>
      <c r="K29" s="13">
        <f>SUM(课题一:课题五!I29)</f>
        <v>0</v>
      </c>
    </row>
    <row r="30" spans="1:11" ht="15" thickBot="1" x14ac:dyDescent="0.25">
      <c r="A30" s="8" t="s">
        <v>24</v>
      </c>
      <c r="B30" s="4">
        <f>SUM(课题一:课题五!B30)</f>
        <v>0</v>
      </c>
      <c r="C30" s="4">
        <f>SUM(课题一:课题五!C30)</f>
        <v>0</v>
      </c>
      <c r="D30" s="4">
        <f>SUM(课题一:课题五!D30)</f>
        <v>0</v>
      </c>
      <c r="E30" s="4">
        <f>SUM(课题一:课题五!E30)</f>
        <v>0</v>
      </c>
      <c r="F30" s="9">
        <v>0</v>
      </c>
      <c r="G30" s="9" t="e">
        <f t="shared" si="4"/>
        <v>#DIV/0!</v>
      </c>
      <c r="H30" s="5">
        <f t="shared" si="5"/>
        <v>0</v>
      </c>
      <c r="I30" s="15">
        <f t="shared" si="5"/>
        <v>0</v>
      </c>
      <c r="J30" s="13">
        <f>SUM(课题一:课题五!H30)</f>
        <v>0</v>
      </c>
      <c r="K30" s="13">
        <f>SUM(课题一:课题五!I30)</f>
        <v>0</v>
      </c>
    </row>
    <row r="35" spans="1:12" ht="15" thickBot="1" x14ac:dyDescent="0.25"/>
    <row r="36" spans="1:12" ht="15" thickBot="1" x14ac:dyDescent="0.25">
      <c r="A36" s="68" t="s">
        <v>39</v>
      </c>
      <c r="B36" s="70"/>
      <c r="C36" s="68" t="s">
        <v>40</v>
      </c>
      <c r="D36" s="71"/>
      <c r="E36" s="71"/>
      <c r="F36" s="71"/>
      <c r="G36" s="71"/>
      <c r="H36" s="71"/>
      <c r="I36" s="70"/>
      <c r="J36" s="68" t="s">
        <v>6</v>
      </c>
      <c r="K36" s="71"/>
      <c r="L36" s="70"/>
    </row>
    <row r="37" spans="1:12" ht="51.75" thickBot="1" x14ac:dyDescent="0.25">
      <c r="A37" s="16" t="s">
        <v>41</v>
      </c>
      <c r="B37" s="17" t="s">
        <v>42</v>
      </c>
      <c r="C37" s="68" t="s">
        <v>41</v>
      </c>
      <c r="D37" s="69"/>
      <c r="E37" s="72" t="s">
        <v>42</v>
      </c>
      <c r="F37" s="70"/>
      <c r="G37" s="17" t="s">
        <v>43</v>
      </c>
      <c r="H37" s="17" t="s">
        <v>44</v>
      </c>
      <c r="I37" s="17" t="s">
        <v>45</v>
      </c>
      <c r="J37" s="18" t="s">
        <v>41</v>
      </c>
      <c r="K37" s="19" t="s">
        <v>42</v>
      </c>
      <c r="L37" s="17" t="s">
        <v>44</v>
      </c>
    </row>
    <row r="38" spans="1:12" ht="15" thickBot="1" x14ac:dyDescent="0.25">
      <c r="A38" s="20">
        <f>SUM(课题一:课题五!A38)</f>
        <v>1472</v>
      </c>
      <c r="B38" s="20">
        <f>SUM(课题一:课题五!B38)</f>
        <v>704.74</v>
      </c>
      <c r="C38" s="64">
        <f>SUM(课题一:课题五!C38:D38)</f>
        <v>647</v>
      </c>
      <c r="D38" s="65"/>
      <c r="E38" s="64">
        <f>SUM(课题一:课题五!E38:F38)</f>
        <v>494.64</v>
      </c>
      <c r="F38" s="65"/>
      <c r="G38" s="21">
        <f>SUM(课题一:课题五!G38)</f>
        <v>184</v>
      </c>
      <c r="H38" s="21">
        <f>SUM(课题一:课题五!H38)</f>
        <v>379.65999999999997</v>
      </c>
      <c r="I38" s="17" t="s">
        <v>46</v>
      </c>
      <c r="J38" s="21">
        <f>SUM(课题一:课题五!J38)</f>
        <v>825</v>
      </c>
      <c r="K38" s="21">
        <f>SUM(课题一:课题五!K38)</f>
        <v>546.1</v>
      </c>
      <c r="L38" s="21">
        <f>SUM(课题一:课题五!L38)</f>
        <v>124</v>
      </c>
    </row>
    <row r="39" spans="1:12" ht="15" thickBot="1" x14ac:dyDescent="0.25">
      <c r="A39" s="19" t="s">
        <v>47</v>
      </c>
      <c r="B39" s="17" t="s">
        <v>48</v>
      </c>
      <c r="C39" s="17" t="s">
        <v>49</v>
      </c>
      <c r="D39" s="17" t="s">
        <v>50</v>
      </c>
      <c r="E39" s="17" t="s">
        <v>51</v>
      </c>
      <c r="F39" s="17" t="s">
        <v>52</v>
      </c>
      <c r="G39" s="17" t="s">
        <v>53</v>
      </c>
      <c r="H39" s="17" t="s">
        <v>54</v>
      </c>
      <c r="I39" s="17" t="s">
        <v>55</v>
      </c>
      <c r="J39" s="17" t="s">
        <v>56</v>
      </c>
      <c r="K39" s="68" t="s">
        <v>57</v>
      </c>
      <c r="L39" s="69"/>
    </row>
    <row r="40" spans="1:12" ht="15" thickBot="1" x14ac:dyDescent="0.25">
      <c r="A40" s="22">
        <f>SUM(课题一:课题五!A40)</f>
        <v>78</v>
      </c>
      <c r="B40" s="22">
        <f>SUM(课题一:课题五!B40)</f>
        <v>16</v>
      </c>
      <c r="C40" s="22">
        <f>SUM(课题一:课题五!C40)</f>
        <v>24</v>
      </c>
      <c r="D40" s="22">
        <f>SUM(课题一:课题五!D40)</f>
        <v>2</v>
      </c>
      <c r="E40" s="22">
        <f>SUM(课题一:课题五!E40)</f>
        <v>0</v>
      </c>
      <c r="F40" s="22">
        <f>SUM(课题一:课题五!F40)</f>
        <v>22</v>
      </c>
      <c r="G40" s="22">
        <f>SUM(课题一:课题五!G40)</f>
        <v>40</v>
      </c>
      <c r="H40" s="22">
        <f>SUM(课题一:课题五!H40)</f>
        <v>24</v>
      </c>
      <c r="I40" s="22">
        <f>SUM(课题一:课题五!I40)</f>
        <v>14</v>
      </c>
      <c r="J40" s="22">
        <f>SUM(课题一:课题五!J40)</f>
        <v>0</v>
      </c>
      <c r="K40" s="64">
        <f>SUM(课题一:课题五!K40:L40)</f>
        <v>72.25</v>
      </c>
      <c r="L40" s="67"/>
    </row>
    <row r="49" spans="1:9" ht="15" thickBot="1" x14ac:dyDescent="0.25"/>
    <row r="50" spans="1:9" ht="15" thickBot="1" x14ac:dyDescent="0.25">
      <c r="A50" s="57" t="s">
        <v>58</v>
      </c>
      <c r="B50" s="59" t="s">
        <v>59</v>
      </c>
      <c r="C50" s="60"/>
      <c r="D50" s="57" t="s">
        <v>60</v>
      </c>
      <c r="E50" s="57" t="s">
        <v>5</v>
      </c>
      <c r="F50" s="54" t="s">
        <v>6</v>
      </c>
      <c r="G50" s="63"/>
      <c r="H50" s="63"/>
      <c r="I50" s="53"/>
    </row>
    <row r="51" spans="1:9" ht="36.75" thickBot="1" x14ac:dyDescent="0.25">
      <c r="A51" s="58"/>
      <c r="B51" s="61"/>
      <c r="C51" s="62"/>
      <c r="D51" s="58"/>
      <c r="E51" s="58"/>
      <c r="F51" s="1" t="s">
        <v>61</v>
      </c>
      <c r="G51" s="1" t="s">
        <v>62</v>
      </c>
      <c r="H51" s="1" t="s">
        <v>63</v>
      </c>
      <c r="I51" s="1" t="s">
        <v>64</v>
      </c>
    </row>
    <row r="52" spans="1:9" ht="15.75" thickBot="1" x14ac:dyDescent="0.25">
      <c r="A52" s="23">
        <v>1</v>
      </c>
      <c r="B52" s="54" t="s">
        <v>1</v>
      </c>
      <c r="C52" s="53"/>
      <c r="D52" s="24">
        <f>SUM(课题一:课题五!D52)</f>
        <v>1072</v>
      </c>
      <c r="E52" s="24">
        <f>SUM(课题一:课题五!E52)</f>
        <v>512</v>
      </c>
      <c r="F52" s="24">
        <f>SUM(课题一:课题五!F52)</f>
        <v>864</v>
      </c>
      <c r="G52" s="24">
        <f>SUM(课题一:课题五!G52)</f>
        <v>0</v>
      </c>
      <c r="H52" s="24">
        <f>SUM(课题一:课题五!H52)</f>
        <v>0</v>
      </c>
      <c r="I52" s="24">
        <f>SUM(课题一:课题五!I52)</f>
        <v>0</v>
      </c>
    </row>
    <row r="53" spans="1:9" ht="15.75" thickBot="1" x14ac:dyDescent="0.25">
      <c r="A53" s="23">
        <v>2</v>
      </c>
      <c r="B53" s="54" t="s">
        <v>42</v>
      </c>
      <c r="C53" s="53"/>
      <c r="D53" s="24">
        <f>SUM(课题一:课题五!D53)</f>
        <v>368.64</v>
      </c>
      <c r="E53" s="24">
        <f>SUM(课题一:课题五!E53)</f>
        <v>368.64</v>
      </c>
      <c r="F53" s="24">
        <f>SUM(课题一:课题五!F53)</f>
        <v>554.88</v>
      </c>
      <c r="G53" s="24">
        <f>SUM(课题一:课题五!G53)</f>
        <v>0</v>
      </c>
      <c r="H53" s="24">
        <f>SUM(课题一:课题五!H53)</f>
        <v>0</v>
      </c>
      <c r="I53" s="24">
        <f>SUM(课题一:课题五!I53)</f>
        <v>0</v>
      </c>
    </row>
    <row r="54" spans="1:9" ht="24.75" thickBot="1" x14ac:dyDescent="0.25">
      <c r="A54" s="55">
        <v>-1</v>
      </c>
      <c r="B54" s="57" t="s">
        <v>65</v>
      </c>
      <c r="C54" s="3" t="s">
        <v>66</v>
      </c>
      <c r="D54" s="24">
        <f>SUM(课题一:课题五!D54)</f>
        <v>368.64</v>
      </c>
      <c r="E54" s="24">
        <f>SUM(课题一:课题五!E54)</f>
        <v>368.64</v>
      </c>
      <c r="F54" s="24">
        <f>SUM(课题一:课题五!F54)</f>
        <v>554.88</v>
      </c>
      <c r="G54" s="24">
        <f>SUM(课题一:课题五!G54)</f>
        <v>0</v>
      </c>
      <c r="H54" s="24">
        <f>SUM(课题一:课题五!H54)</f>
        <v>0</v>
      </c>
      <c r="I54" s="24">
        <f>SUM(课题一:课题五!I54)</f>
        <v>0</v>
      </c>
    </row>
    <row r="55" spans="1:9" ht="60.75" thickBot="1" x14ac:dyDescent="0.25">
      <c r="A55" s="56"/>
      <c r="B55" s="58"/>
      <c r="C55" s="1" t="s">
        <v>67</v>
      </c>
      <c r="D55" s="33">
        <v>45835</v>
      </c>
      <c r="E55" s="34">
        <v>45835</v>
      </c>
      <c r="F55" s="29" t="s">
        <v>68</v>
      </c>
      <c r="G55" s="26"/>
      <c r="H55" s="26"/>
      <c r="I55" s="26"/>
    </row>
    <row r="56" spans="1:9" ht="24.75" thickBot="1" x14ac:dyDescent="0.25">
      <c r="A56" s="55">
        <v>-2</v>
      </c>
      <c r="B56" s="57" t="s">
        <v>70</v>
      </c>
      <c r="C56" s="3" t="s">
        <v>66</v>
      </c>
      <c r="D56" s="30">
        <v>0</v>
      </c>
      <c r="E56" s="28">
        <v>0</v>
      </c>
      <c r="F56" s="29">
        <v>0</v>
      </c>
      <c r="G56" s="26"/>
      <c r="H56" s="26"/>
      <c r="I56" s="26"/>
    </row>
    <row r="57" spans="1:9" ht="60.75" thickBot="1" x14ac:dyDescent="0.25">
      <c r="A57" s="56"/>
      <c r="B57" s="58"/>
      <c r="C57" s="1" t="s">
        <v>67</v>
      </c>
      <c r="D57" s="1" t="s">
        <v>68</v>
      </c>
      <c r="E57" s="24" t="s">
        <v>68</v>
      </c>
      <c r="F57" s="31" t="s">
        <v>68</v>
      </c>
      <c r="G57" s="26"/>
      <c r="H57" s="26"/>
      <c r="I57" s="26"/>
    </row>
  </sheetData>
  <mergeCells count="36">
    <mergeCell ref="J14:J24"/>
    <mergeCell ref="K14:K24"/>
    <mergeCell ref="K40:L40"/>
    <mergeCell ref="J36:L36"/>
    <mergeCell ref="C37:D37"/>
    <mergeCell ref="E37:F37"/>
    <mergeCell ref="C38:D38"/>
    <mergeCell ref="E38:F38"/>
    <mergeCell ref="K39:L39"/>
    <mergeCell ref="F14:F24"/>
    <mergeCell ref="G14:G24"/>
    <mergeCell ref="H14:H24"/>
    <mergeCell ref="I14:I24"/>
    <mergeCell ref="A36:B36"/>
    <mergeCell ref="C36:I36"/>
    <mergeCell ref="A14:A24"/>
    <mergeCell ref="B14:B24"/>
    <mergeCell ref="C14:C24"/>
    <mergeCell ref="D14:D24"/>
    <mergeCell ref="E14:E24"/>
    <mergeCell ref="A1:A2"/>
    <mergeCell ref="B1:C1"/>
    <mergeCell ref="D1:E1"/>
    <mergeCell ref="F1:G1"/>
    <mergeCell ref="H1:I1"/>
    <mergeCell ref="A50:A51"/>
    <mergeCell ref="B50:C51"/>
    <mergeCell ref="D50:D51"/>
    <mergeCell ref="E50:E51"/>
    <mergeCell ref="F50:I50"/>
    <mergeCell ref="B52:C52"/>
    <mergeCell ref="B53:C53"/>
    <mergeCell ref="A54:A55"/>
    <mergeCell ref="B54:B55"/>
    <mergeCell ref="A56:A57"/>
    <mergeCell ref="B56:B57"/>
  </mergeCells>
  <phoneticPr fontId="1" type="noConversion"/>
  <pageMargins left="0.7" right="0.7" top="0.75" bottom="0.75" header="0.3" footer="0.3"/>
  <pageSetup paperSize="9" orientation="portrait" r:id="rId1"/>
  <ignoredErrors>
    <ignoredError sqref="G27:G30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浙大</vt:lpstr>
      <vt:lpstr>北航</vt:lpstr>
      <vt:lpstr>中北</vt:lpstr>
      <vt:lpstr>课题一</vt:lpstr>
      <vt:lpstr>课题二</vt:lpstr>
      <vt:lpstr>课题三</vt:lpstr>
      <vt:lpstr>课题四</vt:lpstr>
      <vt:lpstr>课题五</vt:lpstr>
      <vt:lpstr>项目合计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2026-08-04T14:01:10Z</dcterms:modified>
</cp:coreProperties>
</file>